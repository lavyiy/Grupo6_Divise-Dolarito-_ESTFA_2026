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Div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D4AF37"/>
      <sz val="11"/>
    </font>
    <font>
      <name val="Calibri"/>
      <b val="1"/>
      <color rgb="001B2A4A"/>
      <sz val="10"/>
    </font>
    <font>
      <name val="Calibri"/>
      <color rgb="00333333"/>
      <sz val="10"/>
    </font>
    <font>
      <name val="Calibri"/>
      <b val="1"/>
      <color rgb="00FFFFFF"/>
      <sz val="11"/>
    </font>
    <font>
      <name val="Calibri"/>
      <b val="1"/>
      <color rgb="001B2A4A"/>
      <sz val="11"/>
    </font>
    <font>
      <name val="Calibri"/>
      <b val="1"/>
      <color rgb="00D4AF37"/>
      <sz val="12"/>
    </font>
  </fonts>
  <fills count="6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B2A4A"/>
      </top>
      <bottom style="double">
        <color rgb="001B2A4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pivotButton="0" quotePrefix="0" xfId="0"/>
    <xf numFmtId="4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pivotButton="0" quotePrefix="0" xfId="0"/>
    <xf numFmtId="4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6" fillId="0" borderId="1" applyAlignment="1" pivotButton="0" quotePrefix="0" xfId="0">
      <alignment horizontal="right" vertical="center"/>
    </xf>
    <xf numFmtId="9" fontId="6" fillId="5" borderId="1" applyAlignment="1" pivotButton="0" quotePrefix="0" xfId="0">
      <alignment horizontal="right" vertical="center"/>
    </xf>
    <xf numFmtId="0" fontId="7" fillId="2" borderId="2" applyAlignment="1" pivotButton="0" quotePrefix="0" xfId="0">
      <alignment horizontal="left" vertical="center" wrapText="1"/>
    </xf>
    <xf numFmtId="0" fontId="0" fillId="2" borderId="2" pivotButton="0" quotePrefix="0" xfId="0"/>
    <xf numFmtId="164" fontId="7" fillId="2" borderId="2" applyAlignment="1" pivotButton="0" quotePrefix="0" xfId="0">
      <alignment horizontal="right" vertical="center"/>
    </xf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25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PRESUPUESTO / PROPUESTA COMERCIAL</t>
        </is>
      </c>
    </row>
    <row r="2">
      <c r="A2" s="2" t="inlineStr">
        <is>
          <t>Divise App · Grupo 6 — ESTFA 2026</t>
        </is>
      </c>
    </row>
    <row r="4">
      <c r="A4" s="3" t="inlineStr">
        <is>
          <t>Tipo de doc</t>
        </is>
      </c>
      <c r="C4" s="4" t="inlineStr">
        <is>
          <t>Presupuesto / Propuesta comercial para micro-emprendimiento digital</t>
        </is>
      </c>
    </row>
    <row r="5">
      <c r="A5" s="3" t="inlineStr">
        <is>
          <t>Destinatario</t>
        </is>
      </c>
      <c r="C5" s="4" t="inlineStr">
        <is>
          <t>Cliente / Inversor inicial del proyecto</t>
        </is>
      </c>
    </row>
    <row r="6">
      <c r="A6" s="3" t="inlineStr">
        <is>
          <t>Emisor</t>
        </is>
      </c>
      <c r="C6" s="4" t="inlineStr">
        <is>
          <t>Grupo 6 — ESTFA 2026 · Divise App</t>
        </is>
      </c>
    </row>
    <row r="7">
      <c r="A7" s="3" t="inlineStr">
        <is>
          <t>Validez</t>
        </is>
      </c>
      <c r="C7" s="4" t="inlineStr">
        <is>
          <t>30 días corridos desde la fecha de emisión</t>
        </is>
      </c>
    </row>
    <row r="9">
      <c r="A9" s="5" t="inlineStr">
        <is>
          <t>#</t>
        </is>
      </c>
      <c r="B9" s="5" t="inlineStr">
        <is>
          <t>Ítem / Servicio</t>
        </is>
      </c>
      <c r="C9" s="5" t="inlineStr">
        <is>
          <t>Descripción</t>
        </is>
      </c>
      <c r="D9" s="6" t="n"/>
      <c r="E9" s="5" t="inlineStr">
        <is>
          <t>Hs. est.</t>
        </is>
      </c>
      <c r="F9" s="5" t="inlineStr">
        <is>
          <t>Valor /h (USD)</t>
        </is>
      </c>
      <c r="G9" s="5" t="inlineStr">
        <is>
          <t>Subtotal (USD)</t>
        </is>
      </c>
    </row>
    <row r="10">
      <c r="A10" s="7" t="n">
        <v>1</v>
      </c>
      <c r="B10" s="8" t="inlineStr">
        <is>
          <t>Análisis y diseño UX</t>
        </is>
      </c>
      <c r="C10" s="8" t="inlineStr">
        <is>
          <t>Entrevistas, wireframes, prototipo navegable, sistema de colores e identidad visual</t>
        </is>
      </c>
      <c r="D10" s="9" t="n"/>
      <c r="E10" s="10" t="n">
        <v>40</v>
      </c>
      <c r="F10" s="11" t="n">
        <v>15</v>
      </c>
      <c r="G10" s="11">
        <f>E10*F10</f>
        <v/>
      </c>
    </row>
    <row r="11">
      <c r="A11" s="12" t="n">
        <v>2</v>
      </c>
      <c r="B11" s="13" t="inlineStr">
        <is>
          <t>Diseño de base de datos</t>
        </is>
      </c>
      <c r="C11" s="13" t="inlineStr">
        <is>
          <t>Modelado ER, script DDL, índices, seed y política de migraciones</t>
        </is>
      </c>
      <c r="D11" s="14" t="n"/>
      <c r="E11" s="15" t="n">
        <v>20</v>
      </c>
      <c r="F11" s="16" t="n">
        <v>15</v>
      </c>
      <c r="G11" s="16">
        <f>E11*F11</f>
        <v/>
      </c>
    </row>
    <row r="12">
      <c r="A12" s="7" t="n">
        <v>3</v>
      </c>
      <c r="B12" s="8" t="inlineStr">
        <is>
          <t>Desarrollo backend</t>
        </is>
      </c>
      <c r="C12" s="8" t="inlineStr">
        <is>
          <t>Node.js MVC, auth JWT, integraciones de APIs externas, endpoints, caché y cron job</t>
        </is>
      </c>
      <c r="D12" s="9" t="n"/>
      <c r="E12" s="10" t="n">
        <v>80</v>
      </c>
      <c r="F12" s="11" t="n">
        <v>20</v>
      </c>
      <c r="G12" s="11">
        <f>E12*F12</f>
        <v/>
      </c>
    </row>
    <row r="13">
      <c r="A13" s="12" t="n">
        <v>4</v>
      </c>
      <c r="B13" s="13" t="inlineStr">
        <is>
          <t>Desarrollo frontend</t>
        </is>
      </c>
      <c r="C13" s="13" t="inlineStr">
        <is>
          <t>React/Vite, componentes, pantallas, dashboard, conversor, gráfico y favoritos</t>
        </is>
      </c>
      <c r="D13" s="14" t="n"/>
      <c r="E13" s="15" t="n">
        <v>80</v>
      </c>
      <c r="F13" s="16" t="n">
        <v>20</v>
      </c>
      <c r="G13" s="16">
        <f>E13*F13</f>
        <v/>
      </c>
    </row>
    <row r="14">
      <c r="A14" s="7" t="n">
        <v>5</v>
      </c>
      <c r="B14" s="8" t="inlineStr">
        <is>
          <t>Testing y QA</t>
        </is>
      </c>
      <c r="C14" s="8" t="inlineStr">
        <is>
          <t>Casos de prueba, testing manual, validación de integridad y reporte de defectos</t>
        </is>
      </c>
      <c r="D14" s="9" t="n"/>
      <c r="E14" s="10" t="n">
        <v>30</v>
      </c>
      <c r="F14" s="11" t="n">
        <v>12</v>
      </c>
      <c r="G14" s="11">
        <f>E14*F14</f>
        <v/>
      </c>
    </row>
    <row r="15">
      <c r="A15" s="12" t="n">
        <v>6</v>
      </c>
      <c r="B15" s="13" t="inlineStr">
        <is>
          <t>Documentación técnica</t>
        </is>
      </c>
      <c r="C15" s="13" t="inlineStr">
        <is>
          <t>Documentación de pantallas, queries, arquitectura y manual de usuario</t>
        </is>
      </c>
      <c r="D15" s="14" t="n"/>
      <c r="E15" s="15" t="n">
        <v>20</v>
      </c>
      <c r="F15" s="16" t="n">
        <v>10</v>
      </c>
      <c r="G15" s="16">
        <f>E15*F15</f>
        <v/>
      </c>
    </row>
    <row r="16">
      <c r="A16" s="7" t="n">
        <v>7</v>
      </c>
      <c r="B16" s="8" t="inlineStr">
        <is>
          <t>Presupuesto y gestión</t>
        </is>
      </c>
      <c r="C16" s="8" t="inlineStr">
        <is>
          <t>Elaboración de presupuesto, planificación de sprints y reuniones de equipo</t>
        </is>
      </c>
      <c r="D16" s="9" t="n"/>
      <c r="E16" s="10" t="n">
        <v>10</v>
      </c>
      <c r="F16" s="11" t="n">
        <v>10</v>
      </c>
      <c r="G16" s="11">
        <f>E16*F16</f>
        <v/>
      </c>
    </row>
    <row r="17">
      <c r="A17" s="12" t="n">
        <v>8</v>
      </c>
      <c r="B17" s="13" t="inlineStr">
        <is>
          <t>Infraestructura / Deploy</t>
        </is>
      </c>
      <c r="C17" s="13" t="inlineStr">
        <is>
          <t>Configuración de servidor, dominio y base de datos en producción (estimativo)</t>
        </is>
      </c>
      <c r="D17" s="14" t="n"/>
      <c r="E17" s="15" t="n">
        <v>10</v>
      </c>
      <c r="F17" s="16" t="n">
        <v>15</v>
      </c>
      <c r="G17" s="16">
        <f>E17*F17</f>
        <v/>
      </c>
    </row>
    <row r="18">
      <c r="A18" s="17" t="inlineStr">
        <is>
          <t>SUBTOTAL</t>
        </is>
      </c>
      <c r="B18" s="18" t="n"/>
      <c r="C18" s="18" t="n"/>
      <c r="D18" s="18" t="n"/>
      <c r="E18" s="18" t="n"/>
      <c r="F18" s="18" t="n"/>
      <c r="G18" s="19">
        <f>SUM(G10:G17)</f>
        <v/>
      </c>
    </row>
    <row r="19">
      <c r="A19" s="17" t="inlineStr">
        <is>
          <t>IVA (%)</t>
        </is>
      </c>
      <c r="B19" s="18" t="n"/>
      <c r="C19" s="18" t="n"/>
      <c r="D19" s="18" t="n"/>
      <c r="E19" s="18" t="n"/>
      <c r="F19" s="18" t="n"/>
      <c r="G19" s="20" t="n">
        <v>0.21</v>
      </c>
    </row>
    <row r="20">
      <c r="A20" s="17" t="inlineStr">
        <is>
          <t>IVA (USD)</t>
        </is>
      </c>
      <c r="B20" s="18" t="n"/>
      <c r="C20" s="18" t="n"/>
      <c r="D20" s="18" t="n"/>
      <c r="E20" s="18" t="n"/>
      <c r="F20" s="18" t="n"/>
      <c r="G20" s="19">
        <f>G18*G19</f>
        <v/>
      </c>
    </row>
    <row r="21">
      <c r="A21" s="21" t="inlineStr">
        <is>
          <t>TOTAL</t>
        </is>
      </c>
      <c r="B21" s="22" t="n"/>
      <c r="C21" s="22" t="n"/>
      <c r="D21" s="22" t="n"/>
      <c r="E21" s="22" t="n"/>
      <c r="F21" s="22" t="n"/>
      <c r="G21" s="23">
        <f>G18+G20</f>
        <v/>
      </c>
    </row>
    <row r="23">
      <c r="A23" s="24" t="inlineStr">
        <is>
          <t>Moneda</t>
        </is>
      </c>
      <c r="B23" s="25" t="inlineStr">
        <is>
          <t>USD</t>
        </is>
      </c>
    </row>
    <row r="24">
      <c r="A24" s="24" t="inlineStr">
        <is>
          <t>Tipo de cambio</t>
        </is>
      </c>
      <c r="B24" s="25" t="inlineStr">
        <is>
          <t>A convenir a la fecha de firma</t>
        </is>
      </c>
    </row>
  </sheetData>
  <mergeCells count="25">
    <mergeCell ref="C6:G6"/>
    <mergeCell ref="C15:D15"/>
    <mergeCell ref="B23:G23"/>
    <mergeCell ref="C5:G5"/>
    <mergeCell ref="C14:D14"/>
    <mergeCell ref="A18:F18"/>
    <mergeCell ref="A21:F21"/>
    <mergeCell ref="A6:B6"/>
    <mergeCell ref="C4:G4"/>
    <mergeCell ref="C10:D10"/>
    <mergeCell ref="A7:B7"/>
    <mergeCell ref="C16:D16"/>
    <mergeCell ref="C9:D9"/>
    <mergeCell ref="A20:F20"/>
    <mergeCell ref="B24:G24"/>
    <mergeCell ref="C12:D12"/>
    <mergeCell ref="A1:G1"/>
    <mergeCell ref="A19:F19"/>
    <mergeCell ref="C11:D11"/>
    <mergeCell ref="A5:B5"/>
    <mergeCell ref="C17:D17"/>
    <mergeCell ref="A4:B4"/>
    <mergeCell ref="C7:G7"/>
    <mergeCell ref="A2:G2"/>
    <mergeCell ref="C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2026-08-14T19:02:15Z</dcterms:created>
  <dcterms:modified xmlns:dcterms="http://purl.org/dc/terms/" xmlns:xsi="http://www.w3.org/2001/XMLSchema-instance" xsi:type="dcterms:W3CDTF">2026-08-14T19:02:16Z</dcterms:modified>
</cp:coreProperties>
</file>