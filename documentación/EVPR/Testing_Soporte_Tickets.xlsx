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ESUMEN" sheetId="2" state="visible" r:id="rId2"/>
    <sheet name="CASOS DE PRUEBA" sheetId="3" state="visible" r:id="rId3"/>
    <sheet name="CASOS ADMIN" sheetId="4" state="visible" r:id="rId4"/>
    <sheet name="COBERTURA" sheetId="5" state="visible" r:id="rId5"/>
    <sheet name="BUG REPORT" sheetId="6" state="visible" r:id="rId6"/>
    <sheet name="TRAZABILIDAD" sheetId="7" state="visible" r:id="rId7"/>
    <sheet name="CIERRE DE CICLO" sheetId="8" state="visible" r:id="rId8"/>
  </sheets>
  <definedNames>
    <definedName name="_xlnm.Print_Area" localSheetId="0">'PORTADA'!$A$1:$H$36</definedName>
    <definedName name="_xlnm.Print_Titles" localSheetId="1">'RESUMEN'!$1:$2</definedName>
    <definedName name="_xlnm.Print_Area" localSheetId="1">'RESUMEN'!$A$1:$H$60</definedName>
    <definedName name="_xlnm._FilterDatabase" localSheetId="2" hidden="1">'CASOS DE PRUEBA'!$A$3:$L$44</definedName>
    <definedName name="_xlnm.Print_Titles" localSheetId="2">'CASOS DE PRUEBA'!$1:$3</definedName>
    <definedName name="_xlnm.Print_Area" localSheetId="2">'CASOS DE PRUEBA'!$A$1:$L$44</definedName>
    <definedName name="_xlnm._FilterDatabase" localSheetId="3" hidden="1">'CASOS ADMIN'!$A$3:$K$19</definedName>
    <definedName name="_xlnm.Print_Titles" localSheetId="3">'CASOS ADMIN'!$1:$3</definedName>
    <definedName name="_xlnm.Print_Area" localSheetId="3">'CASOS ADMIN'!$A$1:$K$19</definedName>
    <definedName name="_xlnm.Print_Titles" localSheetId="4">'COBERTURA'!$1:$3</definedName>
    <definedName name="_xlnm.Print_Area" localSheetId="4">'COBERTURA'!$A$1:$G$40</definedName>
    <definedName name="_xlnm._FilterDatabase" localSheetId="5" hidden="1">'BUG REPORT'!$A$3:$F$9</definedName>
    <definedName name="_xlnm.Print_Titles" localSheetId="5">'BUG REPORT'!$1:$3</definedName>
    <definedName name="_xlnm.Print_Area" localSheetId="5">'BUG REPORT'!$A$1:$F$9</definedName>
    <definedName name="_xlnm._FilterDatabase" localSheetId="6" hidden="1">'TRAZABILIDAD'!$A$3:$D$16</definedName>
    <definedName name="_xlnm.Print_Titles" localSheetId="6">'TRAZABILIDAD'!$1:$3</definedName>
    <definedName name="_xlnm.Print_Area" localSheetId="6">'TRAZABILIDAD'!$A$1:$D$16</definedName>
    <definedName name="_xlnm.Print_Titles" localSheetId="7">'CIERRE DE CICLO'!$1:$2</definedName>
    <definedName name="_xlnm.Print_Area" localSheetId="7">'CIERRE DE CICLO'!$A$1:$D$25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FFFFFF"/>
      <sz val="32"/>
    </font>
    <font>
      <name val="Segoe UI"/>
      <b val="1"/>
      <color rgb="001B2A4A"/>
      <sz val="22"/>
    </font>
    <font>
      <name val="Segoe UI"/>
      <color rgb="006B7280"/>
      <sz val="12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6B7280"/>
      <sz val="9"/>
    </font>
    <font>
      <name val="Segoe UI"/>
      <b val="1"/>
      <color rgb="00FFFFFF"/>
      <sz val="22"/>
    </font>
    <font>
      <name val="Segoe UI"/>
      <b val="1"/>
      <color rgb="001E7F4F"/>
      <sz val="22"/>
    </font>
    <font>
      <name val="Segoe UI"/>
      <b val="1"/>
      <color rgb="009C6500"/>
      <sz val="22"/>
    </font>
    <font>
      <name val="Segoe UI"/>
      <b val="1"/>
      <color rgb="001F4E79"/>
      <sz val="22"/>
    </font>
    <font>
      <name val="Segoe UI"/>
      <b val="1"/>
      <color rgb="001E7F4F"/>
      <sz val="14"/>
    </font>
    <font>
      <name val="Segoe UI"/>
      <b val="1"/>
      <color rgb="00FFFFFF"/>
      <sz val="11"/>
    </font>
    <font>
      <name val="Segoe UI"/>
      <b val="1"/>
      <color rgb="001B2A4A"/>
      <sz val="9.5"/>
    </font>
    <font>
      <name val="Segoe UI"/>
      <color rgb="001F2937"/>
      <sz val="9.5"/>
    </font>
    <font>
      <name val="Segoe UI"/>
      <i val="1"/>
      <color rgb="006B7280"/>
      <sz val="9"/>
    </font>
    <font>
      <name val="Segoe UI"/>
      <b val="1"/>
      <color rgb="001B2A4A"/>
      <sz val="18"/>
    </font>
    <font>
      <name val="Segoe UI"/>
      <color rgb="006B7280"/>
      <sz val="10"/>
    </font>
    <font>
      <name val="Segoe UI"/>
      <b val="1"/>
      <color rgb="001E7F4F"/>
      <sz val="20"/>
    </font>
    <font>
      <name val="Segoe UI"/>
      <b val="1"/>
      <color rgb="001B2A4A"/>
      <sz val="10"/>
    </font>
  </fonts>
  <fills count="11">
    <fill>
      <patternFill/>
    </fill>
    <fill>
      <patternFill patternType="gray125"/>
    </fill>
    <fill>
      <patternFill patternType="solid">
        <fgColor rgb="000B1426"/>
      </patternFill>
    </fill>
    <fill>
      <patternFill patternType="solid">
        <fgColor rgb="00F0B90B"/>
      </patternFill>
    </fill>
    <fill>
      <patternFill patternType="solid">
        <fgColor rgb="001B2A4A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6F8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  <border>
      <bottom style="medium">
        <color rgb="00F0B90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18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 wrapText="1"/>
    </xf>
    <xf numFmtId="9" fontId="14" fillId="7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center" vertical="center" wrapText="1"/>
    </xf>
    <xf numFmtId="9" fontId="19" fillId="5" borderId="1" applyAlignment="1" pivotButton="0" quotePrefix="0" xfId="0">
      <alignment horizontal="center" vertical="center" wrapText="1"/>
    </xf>
    <xf numFmtId="0" fontId="19" fillId="5" borderId="0" pivotButton="0" quotePrefix="0" xfId="0"/>
  </cellXfs>
  <cellStyles count="1">
    <cellStyle name="Normal" xfId="0" builtinId="0" hidden="0"/>
  </cellStyles>
  <dxfs count="8">
    <dxf>
      <font>
        <name val="Segoe UI"/>
        <b val="1"/>
        <color rgb="001E7F4F"/>
        <sz val="9.5"/>
      </font>
      <fill>
        <patternFill patternType="solid">
          <fgColor rgb="00C6EFCE"/>
        </patternFill>
      </fill>
    </dxf>
    <dxf>
      <font>
        <name val="Segoe UI"/>
        <b val="1"/>
        <color rgb="009C6500"/>
        <sz val="9.5"/>
      </font>
      <fill>
        <patternFill patternType="solid">
          <fgColor rgb="00FFEB9C"/>
        </patternFill>
      </fill>
    </dxf>
    <dxf>
      <font>
        <name val="Segoe UI"/>
        <b val="1"/>
        <color rgb="001F4E79"/>
        <sz val="9.5"/>
      </font>
      <fill>
        <patternFill patternType="solid">
          <fgColor rgb="00DDEBF7"/>
        </patternFill>
      </fill>
    </dxf>
    <dxf>
      <font>
        <name val="Segoe UI"/>
        <b val="1"/>
        <color rgb="009C0006"/>
        <sz val="9.5"/>
      </font>
      <fill>
        <patternFill patternType="solid">
          <fgColor rgb="00FFC7CE"/>
        </patternFill>
      </fill>
    </dxf>
    <dxf>
      <font>
        <name val="Segoe UI"/>
        <b val="1"/>
        <color rgb="00595959"/>
        <sz val="9.5"/>
      </font>
      <fill>
        <patternFill patternType="solid">
          <fgColor rgb="00E7E6E6"/>
        </patternFill>
      </fill>
    </dxf>
    <dxf>
      <font>
        <name val="Segoe UI"/>
        <b val="1"/>
        <color rgb="00C00000"/>
        <sz val="9.5"/>
      </font>
    </dxf>
    <dxf>
      <font>
        <name val="Segoe UI"/>
        <b val="1"/>
        <color rgb="00B26B00"/>
        <sz val="9.5"/>
      </font>
    </dxf>
    <dxf>
      <font>
        <name val="Segoe UI"/>
        <b val="1"/>
        <color rgb="001E7F4F"/>
        <sz val="9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Casos por módulo y estado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'RESUMEN'!C11</f>
            </strRef>
          </tx>
          <spPr>
            <a:ln>
              <a:prstDash val="solid"/>
            </a:ln>
          </spPr>
          <cat>
            <numRef>
              <f>'RESUMEN'!$A$12:$A$15</f>
            </numRef>
          </cat>
          <val>
            <numRef>
              <f>'RESUMEN'!$C$12:$C$15</f>
            </numRef>
          </val>
        </ser>
        <ser>
          <idx val="1"/>
          <order val="1"/>
          <tx>
            <strRef>
              <f>'RESUMEN'!D11</f>
            </strRef>
          </tx>
          <spPr>
            <a:ln>
              <a:prstDash val="solid"/>
            </a:ln>
          </spPr>
          <cat>
            <numRef>
              <f>'RESUMEN'!$A$12:$A$15</f>
            </numRef>
          </cat>
          <val>
            <numRef>
              <f>'RESUMEN'!$D$12:$D$15</f>
            </numRef>
          </val>
        </ser>
        <ser>
          <idx val="2"/>
          <order val="2"/>
          <tx>
            <strRef>
              <f>'RESUMEN'!E11</f>
            </strRef>
          </tx>
          <spPr>
            <a:ln>
              <a:prstDash val="solid"/>
            </a:ln>
          </spPr>
          <cat>
            <numRef>
              <f>'RESUMEN'!$A$12:$A$15</f>
            </numRef>
          </cat>
          <val>
            <numRef>
              <f>'RESUMEN'!$E$12:$E$15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Módulo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estado</a:t>
            </a:r>
          </a:p>
        </rich>
      </tx>
    </title>
    <plotArea>
      <doughnutChart>
        <varyColors val="1"/>
        <ser>
          <idx val="0"/>
          <order val="0"/>
          <tx>
            <strRef>
              <f>'RESUMEN'!G18</f>
            </strRef>
          </tx>
          <spPr>
            <a:ln>
              <a:prstDash val="solid"/>
            </a:ln>
          </spPr>
          <cat>
            <numRef>
              <f>'RESUMEN'!$F$19:$F$23</f>
            </numRef>
          </cat>
          <val>
            <numRef>
              <f>'RESUMEN'!$G$19:$G$23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Casos por prioridad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'COBERTURA'!B10</f>
            </strRef>
          </tx>
          <spPr>
            <a:ln>
              <a:prstDash val="solid"/>
            </a:ln>
          </spPr>
          <cat>
            <numRef>
              <f>'COBERTURA'!$A$11:$A$13</f>
            </numRef>
          </cat>
          <val>
            <numRef>
              <f>'COBERTURA'!$B$11:$B$13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41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2" customHeight="1">
      <c r="A1" s="1" t="inlineStr">
        <is>
          <t>DIVISE / DOLARITO</t>
        </is>
      </c>
    </row>
    <row r="2" ht="22" customHeight="1"/>
    <row r="3" ht="22" customHeight="1"/>
    <row r="4" ht="7" customHeight="1">
      <c r="A4" s="2" t="inlineStr"/>
    </row>
    <row r="6" ht="34" customHeight="1">
      <c r="A6" s="3" t="inlineStr">
        <is>
          <t>Casos de Prueba — Módulo de Soporte y Tickets</t>
        </is>
      </c>
    </row>
    <row r="7" ht="22" customHeight="1">
      <c r="A7" s="4" t="inlineStr">
        <is>
          <t>Chatbot de soporte, tickets y bandeja de administración</t>
        </is>
      </c>
    </row>
    <row r="9" ht="24" customHeight="1">
      <c r="B9" s="5" t="inlineStr">
        <is>
          <t>Proyecto</t>
        </is>
      </c>
      <c r="D9" s="6" t="inlineStr">
        <is>
          <t>Divise — Cotizaciones &amp; Mercado en Tiempo Real</t>
        </is>
      </c>
    </row>
    <row r="10" ht="24" customHeight="1">
      <c r="B10" s="5" t="inlineStr">
        <is>
          <t>Emprendimiento</t>
        </is>
      </c>
      <c r="D10" s="7" t="inlineStr">
        <is>
          <t>DiviseTech — Grupo 6 — ESTFA 2026</t>
        </is>
      </c>
    </row>
    <row r="11" ht="24" customHeight="1">
      <c r="B11" s="5" t="inlineStr">
        <is>
          <t>Documento</t>
        </is>
      </c>
      <c r="D11" s="6" t="inlineStr">
        <is>
          <t>Casos de prueba del módulo de Soporte y Administración</t>
        </is>
      </c>
    </row>
    <row r="12" ht="24" customHeight="1">
      <c r="B12" s="5" t="inlineStr">
        <is>
          <t>Versión</t>
        </is>
      </c>
      <c r="D12" s="7" t="inlineStr">
        <is>
          <t>1.0</t>
        </is>
      </c>
    </row>
    <row r="13" ht="24" customHeight="1">
      <c r="B13" s="5" t="inlineStr">
        <is>
          <t>Fecha</t>
        </is>
      </c>
      <c r="D13" s="6" t="inlineStr">
        <is>
          <t>Octubre 2026</t>
        </is>
      </c>
    </row>
    <row r="14" ht="34" customHeight="1">
      <c r="B14" s="5" t="inlineStr">
        <is>
          <t>Entorno principal</t>
        </is>
      </c>
      <c r="D14" s="7" t="inlineStr">
        <is>
          <t>Local (http://localhost:5173 + http://localhost:5000) y producción Render/Supabase</t>
        </is>
      </c>
    </row>
    <row r="15" ht="34" customHeight="1">
      <c r="B15" s="5" t="inlineStr">
        <is>
          <t>Equipo</t>
        </is>
      </c>
      <c r="D15" s="6" t="inlineStr">
        <is>
          <t>Valentín López [PM] · Santino Tacconi [Dev] · Santiago Centurión [Dev] · Bruno Cabrera [UX] · Lorenzo Sánchez [BDA/QA]</t>
        </is>
      </c>
    </row>
    <row r="16" ht="48" customHeight="1">
      <c r="B16" s="5" t="inlineStr">
        <is>
          <t>Alcance</t>
        </is>
      </c>
      <c r="D16" s="7" t="inlineStr">
        <is>
          <t>Chatbot de soporte, tickets de usuario, bandeja de administración, estados, respuestas, persistencia, seguridad, responsive y correcciones de conectividad/caché.</t>
        </is>
      </c>
    </row>
    <row r="20" ht="20" customHeight="1">
      <c r="A20" s="8" t="inlineStr">
        <is>
          <t>CASOS DISEÑADOS</t>
        </is>
      </c>
      <c r="C20" s="8" t="inlineStr">
        <is>
          <t>APROBADOS</t>
        </is>
      </c>
      <c r="E20" s="8" t="inlineStr">
        <is>
          <t>PENDIENTES</t>
        </is>
      </c>
      <c r="G20" s="8" t="inlineStr">
        <is>
          <t>PARCIALES</t>
        </is>
      </c>
    </row>
    <row r="21" ht="34" customHeight="1">
      <c r="A21" s="9" t="inlineStr">
        <is>
          <t>41</t>
        </is>
      </c>
      <c r="C21" s="10" t="inlineStr">
        <is>
          <t>34</t>
        </is>
      </c>
      <c r="E21" s="11" t="inlineStr">
        <is>
          <t>4</t>
        </is>
      </c>
      <c r="G21" s="12" t="inlineStr">
        <is>
          <t>3</t>
        </is>
      </c>
    </row>
    <row r="23">
      <c r="A23" s="8" t="inlineStr">
        <is>
          <t>FALLOS BLOQUEANTES</t>
        </is>
      </c>
      <c r="C23" s="8" t="inlineStr">
        <is>
          <t>RESULTADO DEL CICLO</t>
        </is>
      </c>
    </row>
    <row r="24">
      <c r="A24" s="10" t="inlineStr">
        <is>
          <t>0</t>
        </is>
      </c>
      <c r="C24" s="13" t="inlineStr">
        <is>
          <t>APROBADO PARA DESPLIEGUE</t>
        </is>
      </c>
    </row>
    <row r="26" ht="24" customHeight="1">
      <c r="A26" s="14" t="inlineStr">
        <is>
          <t>CONTENIDO DEL LIBRO</t>
        </is>
      </c>
    </row>
    <row r="27" ht="21" customHeight="1">
      <c r="A27" s="15" t="inlineStr">
        <is>
          <t>RESUMEN</t>
        </is>
      </c>
      <c r="C27" s="16" t="inlineStr">
        <is>
          <t>KPIs, distribución por módulo, estado y gráficos.</t>
        </is>
      </c>
    </row>
    <row r="28" ht="21" customHeight="1">
      <c r="A28" s="17" t="inlineStr">
        <is>
          <t>CASOS DE PRUEBA</t>
        </is>
      </c>
      <c r="C28" s="18" t="inlineStr">
        <is>
          <t>Matriz completa de 41 casos con pasos, resultados y estado.</t>
        </is>
      </c>
    </row>
    <row r="29" ht="21" customHeight="1">
      <c r="A29" s="15" t="inlineStr">
        <is>
          <t>CASOS ADMIN</t>
        </is>
      </c>
      <c r="C29" s="16" t="inlineStr">
        <is>
          <t>Checklist específico de los 16 casos de administración.</t>
        </is>
      </c>
    </row>
    <row r="30" ht="21" customHeight="1">
      <c r="A30" s="17" t="inlineStr">
        <is>
          <t>COBERTURA</t>
        </is>
      </c>
      <c r="C30" s="18" t="inlineStr">
        <is>
          <t>Cobertura por módulo, prioridad y tipo de prueba.</t>
        </is>
      </c>
    </row>
    <row r="31" ht="21" customHeight="1">
      <c r="A31" s="15" t="inlineStr">
        <is>
          <t>BUG REPORT</t>
        </is>
      </c>
      <c r="C31" s="16" t="inlineStr">
        <is>
          <t>Defectos detectados y correcciones del ciclo.</t>
        </is>
      </c>
    </row>
    <row r="32" ht="21" customHeight="1">
      <c r="A32" s="17" t="inlineStr">
        <is>
          <t>TRAZABILIDAD</t>
        </is>
      </c>
      <c r="C32" s="18" t="inlineStr">
        <is>
          <t>Relación entre funcionalidades nuevas y casos de prueba.</t>
        </is>
      </c>
    </row>
    <row r="33" ht="21" customHeight="1">
      <c r="A33" s="15" t="inlineStr">
        <is>
          <t>CIERRE DE CICLO</t>
        </is>
      </c>
      <c r="C33" s="16" t="inlineStr">
        <is>
          <t>Resultado final, pendientes y aprobaciones.</t>
        </is>
      </c>
    </row>
    <row r="36" ht="24" customHeight="1">
      <c r="A36" s="19" t="inlineStr">
        <is>
          <t>Documento generado para el cierre del sprint — Divise / Dolarito — Octubre 2026.</t>
        </is>
      </c>
    </row>
  </sheetData>
  <mergeCells count="48">
    <mergeCell ref="G21:H21"/>
    <mergeCell ref="A24:B24"/>
    <mergeCell ref="B16:C16"/>
    <mergeCell ref="A30:B30"/>
    <mergeCell ref="D10:H10"/>
    <mergeCell ref="C31:H31"/>
    <mergeCell ref="A36:H36"/>
    <mergeCell ref="A1:H3"/>
    <mergeCell ref="A6:H6"/>
    <mergeCell ref="B12:C12"/>
    <mergeCell ref="C20:D20"/>
    <mergeCell ref="E20:F20"/>
    <mergeCell ref="A7:H7"/>
    <mergeCell ref="B11:C11"/>
    <mergeCell ref="C27:H27"/>
    <mergeCell ref="D11:H11"/>
    <mergeCell ref="D13:H13"/>
    <mergeCell ref="C23:H23"/>
    <mergeCell ref="B14:C14"/>
    <mergeCell ref="A27:B27"/>
    <mergeCell ref="B13:C13"/>
    <mergeCell ref="C32:H32"/>
    <mergeCell ref="A21:B21"/>
    <mergeCell ref="A26:H26"/>
    <mergeCell ref="C21:D21"/>
    <mergeCell ref="D16:H16"/>
    <mergeCell ref="C28:H28"/>
    <mergeCell ref="A33:B33"/>
    <mergeCell ref="B10:C10"/>
    <mergeCell ref="A32:B32"/>
    <mergeCell ref="A23:B23"/>
    <mergeCell ref="B9:C9"/>
    <mergeCell ref="C30:H30"/>
    <mergeCell ref="D9:H9"/>
    <mergeCell ref="C33:H33"/>
    <mergeCell ref="A4:H4"/>
    <mergeCell ref="D12:H12"/>
    <mergeCell ref="A20:B20"/>
    <mergeCell ref="G20:H20"/>
    <mergeCell ref="C24:H24"/>
    <mergeCell ref="B15:C15"/>
    <mergeCell ref="D15:H15"/>
    <mergeCell ref="A29:B29"/>
    <mergeCell ref="A28:B28"/>
    <mergeCell ref="D14:H14"/>
    <mergeCell ref="A31:B31"/>
    <mergeCell ref="C29:H29"/>
    <mergeCell ref="E21:F21"/>
  </mergeCells>
  <pageMargins left="0.25" right="0.25" top="0.45" bottom="0.45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E7F4F"/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30" customHeight="1">
      <c r="A1" s="20" t="inlineStr">
        <is>
          <t>Panel de Métricas — Módulo de Soporte y Tickets</t>
        </is>
      </c>
    </row>
    <row r="2" ht="18" customHeight="1">
      <c r="A2" s="21" t="inlineStr">
        <is>
          <t>Resultados de la ejecución · Octubre 2026 · Datos vinculados a la hoja CASOS DE PRUEBA</t>
        </is>
      </c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</row>
    <row r="5" ht="20" customHeight="1">
      <c r="A5" s="8" t="inlineStr">
        <is>
          <t>CASOS DISEÑADOS</t>
        </is>
      </c>
      <c r="C5" s="8" t="inlineStr">
        <is>
          <t>APROBADOS</t>
        </is>
      </c>
      <c r="E5" s="8" t="inlineStr">
        <is>
          <t>PENDIENTES</t>
        </is>
      </c>
      <c r="G5" s="8" t="inlineStr">
        <is>
          <t>PARCIALES</t>
        </is>
      </c>
    </row>
    <row r="6" ht="36" customHeight="1">
      <c r="A6" s="9">
        <f>COUNTA('CASOS DE PRUEBA'!$A$4:$A$44)</f>
        <v/>
      </c>
      <c r="C6" s="10">
        <f>COUNTIF('CASOS DE PRUEBA'!$E$4:$E$44,"APROBADO")</f>
        <v/>
      </c>
      <c r="E6" s="11">
        <f>COUNTIF('CASOS DE PRUEBA'!$E$4:$E$44,"PENDIENTE")</f>
        <v/>
      </c>
      <c r="G6" s="12">
        <f>COUNTIF('CASOS DE PRUEBA'!$E$4:$E$44,"PARCIAL")</f>
        <v/>
      </c>
    </row>
    <row r="8">
      <c r="A8" s="8" t="inlineStr">
        <is>
          <t>FALLOS BLOQUEANTES</t>
        </is>
      </c>
      <c r="C8" s="8" t="inlineStr">
        <is>
          <t>RESULTADO DEL CICLO</t>
        </is>
      </c>
    </row>
    <row r="9" ht="30" customHeight="1">
      <c r="A9" s="23">
        <f>COUNTIF('CASOS DE PRUEBA'!$E$4:$E$44,"FALLO")</f>
        <v/>
      </c>
      <c r="C9" s="13" t="inlineStr">
        <is>
          <t>APROBADO PARA DESPLIEGUE</t>
        </is>
      </c>
    </row>
    <row r="11" ht="26" customHeight="1">
      <c r="A11" s="24" t="inlineStr">
        <is>
          <t>Módulo</t>
        </is>
      </c>
      <c r="B11" s="24" t="inlineStr">
        <is>
          <t>Casos</t>
        </is>
      </c>
      <c r="C11" s="24" t="inlineStr">
        <is>
          <t>Aprobados</t>
        </is>
      </c>
      <c r="D11" s="24" t="inlineStr">
        <is>
          <t>Pendientes</t>
        </is>
      </c>
      <c r="E11" s="24" t="inlineStr">
        <is>
          <t>Parciales</t>
        </is>
      </c>
      <c r="F11" s="24" t="inlineStr">
        <is>
          <t>Fallos</t>
        </is>
      </c>
      <c r="G11" s="24" t="inlineStr">
        <is>
          <t>% Cobertura</t>
        </is>
      </c>
    </row>
    <row r="12">
      <c r="A12" s="25" t="inlineStr">
        <is>
          <t>Soporte / Usuario</t>
        </is>
      </c>
      <c r="B12" s="26">
        <f>COUNTIF('CASOS DE PRUEBA'!$B$4:$B$44,$A12)</f>
        <v/>
      </c>
      <c r="C12" s="26">
        <f>COUNTIFS('CASOS DE PRUEBA'!$B$4:$B$44,$A12,'CASOS DE PRUEBA'!$E$4:$E$44,"APROBADO")</f>
        <v/>
      </c>
      <c r="D12" s="26">
        <f>COUNTIFS('CASOS DE PRUEBA'!$B$4:$B$44,$A12,'CASOS DE PRUEBA'!$E$4:$E$44,"PENDIENTE")</f>
        <v/>
      </c>
      <c r="E12" s="26">
        <f>COUNTIFS('CASOS DE PRUEBA'!$B$4:$B$44,$A12,'CASOS DE PRUEBA'!$E$4:$E$44,"PARCIAL")</f>
        <v/>
      </c>
      <c r="F12" s="26">
        <f>COUNTIFS('CASOS DE PRUEBA'!$B$4:$B$44,$A12,'CASOS DE PRUEBA'!$E$4:$E$44,"FALLO")</f>
        <v/>
      </c>
      <c r="G12" s="27">
        <f>IF(B12=0,0,C12/B12)</f>
        <v/>
      </c>
    </row>
    <row r="13">
      <c r="A13" s="28" t="inlineStr">
        <is>
          <t>Administración</t>
        </is>
      </c>
      <c r="B13" s="29">
        <f>COUNTIF('CASOS DE PRUEBA'!$B$4:$B$44,$A13)</f>
        <v/>
      </c>
      <c r="C13" s="29">
        <f>COUNTIFS('CASOS DE PRUEBA'!$B$4:$B$44,$A13,'CASOS DE PRUEBA'!$E$4:$E$44,"APROBADO")</f>
        <v/>
      </c>
      <c r="D13" s="29">
        <f>COUNTIFS('CASOS DE PRUEBA'!$B$4:$B$44,$A13,'CASOS DE PRUEBA'!$E$4:$E$44,"PENDIENTE")</f>
        <v/>
      </c>
      <c r="E13" s="29">
        <f>COUNTIFS('CASOS DE PRUEBA'!$B$4:$B$44,$A13,'CASOS DE PRUEBA'!$E$4:$E$44,"PARCIAL")</f>
        <v/>
      </c>
      <c r="F13" s="29">
        <f>COUNTIFS('CASOS DE PRUEBA'!$B$4:$B$44,$A13,'CASOS DE PRUEBA'!$E$4:$E$44,"FALLO")</f>
        <v/>
      </c>
      <c r="G13" s="30">
        <f>IF(B13=0,0,C13/B13)</f>
        <v/>
      </c>
    </row>
    <row r="14">
      <c r="A14" s="25" t="inlineStr">
        <is>
          <t>Integración / Backend</t>
        </is>
      </c>
      <c r="B14" s="26">
        <f>COUNTIF('CASOS DE PRUEBA'!$B$4:$B$44,$A14)</f>
        <v/>
      </c>
      <c r="C14" s="26">
        <f>COUNTIFS('CASOS DE PRUEBA'!$B$4:$B$44,$A14,'CASOS DE PRUEBA'!$E$4:$E$44,"APROBADO")</f>
        <v/>
      </c>
      <c r="D14" s="26">
        <f>COUNTIFS('CASOS DE PRUEBA'!$B$4:$B$44,$A14,'CASOS DE PRUEBA'!$E$4:$E$44,"PENDIENTE")</f>
        <v/>
      </c>
      <c r="E14" s="26">
        <f>COUNTIFS('CASOS DE PRUEBA'!$B$4:$B$44,$A14,'CASOS DE PRUEBA'!$E$4:$E$44,"PARCIAL")</f>
        <v/>
      </c>
      <c r="F14" s="26">
        <f>COUNTIFS('CASOS DE PRUEBA'!$B$4:$B$44,$A14,'CASOS DE PRUEBA'!$E$4:$E$44,"FALLO")</f>
        <v/>
      </c>
      <c r="G14" s="27">
        <f>IF(B14=0,0,C14/B14)</f>
        <v/>
      </c>
    </row>
    <row r="15">
      <c r="A15" s="28" t="inlineStr">
        <is>
          <t>Seguridad</t>
        </is>
      </c>
      <c r="B15" s="29">
        <f>COUNTIF('CASOS DE PRUEBA'!$B$4:$B$44,$A15)</f>
        <v/>
      </c>
      <c r="C15" s="29">
        <f>COUNTIFS('CASOS DE PRUEBA'!$B$4:$B$44,$A15,'CASOS DE PRUEBA'!$E$4:$E$44,"APROBADO")</f>
        <v/>
      </c>
      <c r="D15" s="29">
        <f>COUNTIFS('CASOS DE PRUEBA'!$B$4:$B$44,$A15,'CASOS DE PRUEBA'!$E$4:$E$44,"PENDIENTE")</f>
        <v/>
      </c>
      <c r="E15" s="29">
        <f>COUNTIFS('CASOS DE PRUEBA'!$B$4:$B$44,$A15,'CASOS DE PRUEBA'!$E$4:$E$44,"PARCIAL")</f>
        <v/>
      </c>
      <c r="F15" s="29">
        <f>COUNTIFS('CASOS DE PRUEBA'!$B$4:$B$44,$A15,'CASOS DE PRUEBA'!$E$4:$E$44,"FALLO")</f>
        <v/>
      </c>
      <c r="G15" s="30">
        <f>IF(B15=0,0,C15/B15)</f>
        <v/>
      </c>
    </row>
    <row r="16">
      <c r="A16" s="31" t="inlineStr">
        <is>
          <t>TOTAL</t>
        </is>
      </c>
      <c r="B16" s="32">
        <f>SUM(B12:B15)</f>
        <v/>
      </c>
      <c r="C16" s="32">
        <f>SUM(C12:C15)</f>
        <v/>
      </c>
      <c r="D16" s="32">
        <f>SUM(D12:D15)</f>
        <v/>
      </c>
      <c r="E16" s="32">
        <f>SUM(E12:E15)</f>
        <v/>
      </c>
      <c r="F16" s="32">
        <f>SUM(F12:F15)</f>
        <v/>
      </c>
      <c r="G16" s="33">
        <f>IF(B16=0,0,C16/B16)</f>
        <v/>
      </c>
      <c r="H16" s="34" t="n"/>
    </row>
    <row r="18">
      <c r="F18" s="24" t="inlineStr">
        <is>
          <t>Estado</t>
        </is>
      </c>
      <c r="G18" s="24" t="inlineStr">
        <is>
          <t>Cantidad</t>
        </is>
      </c>
    </row>
    <row r="19">
      <c r="F19" s="26" t="inlineStr">
        <is>
          <t>APROBADO</t>
        </is>
      </c>
      <c r="G19" s="26">
        <f>COUNTIF('CASOS DE PRUEBA'!$E$4:$E$44,F19)</f>
        <v/>
      </c>
    </row>
    <row r="20">
      <c r="F20" s="29" t="inlineStr">
        <is>
          <t>PENDIENTE</t>
        </is>
      </c>
      <c r="G20" s="29">
        <f>COUNTIF('CASOS DE PRUEBA'!$E$4:$E$44,F20)</f>
        <v/>
      </c>
    </row>
    <row r="21">
      <c r="F21" s="26" t="inlineStr">
        <is>
          <t>PARCIAL</t>
        </is>
      </c>
      <c r="G21" s="26">
        <f>COUNTIF('CASOS DE PRUEBA'!$E$4:$E$44,F21)</f>
        <v/>
      </c>
    </row>
    <row r="22">
      <c r="F22" s="29" t="inlineStr">
        <is>
          <t>FALLO</t>
        </is>
      </c>
      <c r="G22" s="29">
        <f>COUNTIF('CASOS DE PRUEBA'!$E$4:$E$44,F22)</f>
        <v/>
      </c>
    </row>
    <row r="23">
      <c r="F23" s="26" t="inlineStr">
        <is>
          <t>N/A</t>
        </is>
      </c>
      <c r="G23" s="26">
        <f>COUNTIF('CASOS DE PRUEBA'!$E$4:$E$44,F23)</f>
        <v/>
      </c>
    </row>
  </sheetData>
  <mergeCells count="14">
    <mergeCell ref="E6:F6"/>
    <mergeCell ref="C6:D6"/>
    <mergeCell ref="A2:H2"/>
    <mergeCell ref="C9:H9"/>
    <mergeCell ref="C5:D5"/>
    <mergeCell ref="A5:B5"/>
    <mergeCell ref="G5:H5"/>
    <mergeCell ref="E5:F5"/>
    <mergeCell ref="C8:H8"/>
    <mergeCell ref="G6:H6"/>
    <mergeCell ref="A1:H1"/>
    <mergeCell ref="A9:B9"/>
    <mergeCell ref="A8:B8"/>
    <mergeCell ref="A6:B6"/>
  </mergeCells>
  <pageMargins left="0.25" right="0.25" top="0.45" bottom="0.45" header="0.2" footer="0.2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0B90B"/>
    <outlinePr summaryBelow="1" summaryRight="1"/>
    <pageSetUpPr fitToPage="1"/>
  </sheetPr>
  <dimension ref="A1:L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5" customWidth="1" min="4" max="4"/>
    <col width="12" customWidth="1" min="5" max="5"/>
    <col width="30" customWidth="1" min="6" max="6"/>
    <col width="32" customWidth="1" min="7" max="7"/>
    <col width="48" customWidth="1" min="8" max="8"/>
    <col width="40" customWidth="1" min="9" max="9"/>
    <col width="42" customWidth="1" min="10" max="10"/>
    <col width="18" customWidth="1" min="11" max="11"/>
    <col width="16" customWidth="1" min="12" max="12"/>
  </cols>
  <sheetData>
    <row r="1" ht="30" customHeight="1">
      <c r="A1" s="20" t="inlineStr">
        <is>
          <t>Matriz de Casos de Prueba — Módulo de Soporte y Tickets</t>
        </is>
      </c>
    </row>
    <row r="2" ht="18" customHeight="1">
      <c r="A2" s="21" t="inlineStr">
        <is>
          <t>41 casos · Ejecución Octubre 2026 · Entorno local + Render/Supabase · Estados: APROBADO / PENDIENTE / PARCIAL / FALLO</t>
        </is>
      </c>
    </row>
    <row r="3" ht="30" customHeight="1">
      <c r="A3" s="24" t="inlineStr">
        <is>
          <t>ID</t>
        </is>
      </c>
      <c r="B3" s="24" t="inlineStr">
        <is>
          <t>Módulo</t>
        </is>
      </c>
      <c r="C3" s="24" t="inlineStr">
        <is>
          <t>Prioridad</t>
        </is>
      </c>
      <c r="D3" s="24" t="inlineStr">
        <is>
          <t>Tipo</t>
        </is>
      </c>
      <c r="E3" s="24" t="inlineStr">
        <is>
          <t>Estado</t>
        </is>
      </c>
      <c r="F3" s="24" t="inlineStr">
        <is>
          <t>Título / Funcionalidad</t>
        </is>
      </c>
      <c r="G3" s="24" t="inlineStr">
        <is>
          <t>Precondiciones</t>
        </is>
      </c>
      <c r="H3" s="24" t="inlineStr">
        <is>
          <t>Pasos</t>
        </is>
      </c>
      <c r="I3" s="24" t="inlineStr">
        <is>
          <t>Resultado esperado</t>
        </is>
      </c>
      <c r="J3" s="24" t="inlineStr">
        <is>
          <t>Resultado obtenido / evidencia</t>
        </is>
      </c>
      <c r="K3" s="24" t="inlineStr">
        <is>
          <t>Responsable</t>
        </is>
      </c>
      <c r="L3" s="24" t="inlineStr">
        <is>
          <t>Fecha de ejecución</t>
        </is>
      </c>
    </row>
    <row r="4" ht="43" customHeight="1">
      <c r="A4" s="26" t="inlineStr">
        <is>
          <t>CP-SOP-01</t>
        </is>
      </c>
      <c r="B4" s="25" t="inlineStr">
        <is>
          <t>Soporte / Usuario</t>
        </is>
      </c>
      <c r="C4" s="26" t="inlineStr">
        <is>
          <t>ALTA</t>
        </is>
      </c>
      <c r="D4" s="25" t="inlineStr">
        <is>
          <t>Funcional</t>
        </is>
      </c>
      <c r="E4" s="26" t="inlineStr">
        <is>
          <t>APROBADO</t>
        </is>
      </c>
      <c r="F4" s="25" t="inlineStr">
        <is>
          <t>Visualización del icono flotante de Soporte</t>
        </is>
      </c>
      <c r="G4" s="25" t="inlineStr">
        <is>
          <t>Usuario autenticado en el dashboard. Backend activo.</t>
        </is>
      </c>
      <c r="H4" s="25" t="inlineStr">
        <is>
          <t>1. Iniciar sesión como usuario estándar.
2. Observar la esquina inferior derecha.
3. Navegar a otra sección del dashboard.</t>
        </is>
      </c>
      <c r="I4" s="25" t="inlineStr">
        <is>
          <t>El botón flotante “Soporte” se muestra fijo en todas las pantallas del dashboard y no aparece en login/registro.</t>
        </is>
      </c>
      <c r="J4" s="25" t="inlineStr">
        <is>
          <t>Verificado en /dashboard; el botón se mantiene al navegar entre secciones.</t>
        </is>
      </c>
      <c r="K4" s="25" t="inlineStr"/>
      <c r="L4" s="26" t="inlineStr"/>
    </row>
    <row r="5" ht="56" customHeight="1">
      <c r="A5" s="29" t="inlineStr">
        <is>
          <t>CP-SOP-02</t>
        </is>
      </c>
      <c r="B5" s="28" t="inlineStr">
        <is>
          <t>Soporte / Usuario</t>
        </is>
      </c>
      <c r="C5" s="29" t="inlineStr">
        <is>
          <t>ALTA</t>
        </is>
      </c>
      <c r="D5" s="28" t="inlineStr">
        <is>
          <t>Funcional</t>
        </is>
      </c>
      <c r="E5" s="29" t="inlineStr">
        <is>
          <t>APROBADO</t>
        </is>
      </c>
      <c r="F5" s="28" t="inlineStr">
        <is>
          <t>Apertura, cierre y pestañas del panel</t>
        </is>
      </c>
      <c r="G5" s="28" t="inlineStr">
        <is>
          <t>Widget visible.</t>
        </is>
      </c>
      <c r="H5" s="28" t="inlineStr">
        <is>
          <t>1. Hacer clic en “Soporte”.
2. Verificar encabezado y pestañas “Nuevo ticket” / “Mis tickets”.
3. Cerrar y volver a abrir.</t>
        </is>
      </c>
      <c r="I5" s="28" t="inlineStr">
        <is>
          <t>El panel se abre y cierra correctamente; muestra las pestañas y conserva el estado de la conversación.</t>
        </is>
      </c>
      <c r="J5" s="28" t="inlineStr">
        <is>
          <t>Verificado; apertura/cierre sin errores y pestañas visibles.</t>
        </is>
      </c>
      <c r="K5" s="28" t="inlineStr"/>
      <c r="L5" s="29" t="inlineStr"/>
    </row>
    <row r="6" ht="82" customHeight="1">
      <c r="A6" s="26" t="inlineStr">
        <is>
          <t>CP-SOP-03</t>
        </is>
      </c>
      <c r="B6" s="25" t="inlineStr">
        <is>
          <t>Soporte / Usuario</t>
        </is>
      </c>
      <c r="C6" s="26" t="inlineStr">
        <is>
          <t>ALTA</t>
        </is>
      </c>
      <c r="D6" s="25" t="inlineStr">
        <is>
          <t>Funcional</t>
        </is>
      </c>
      <c r="E6" s="26" t="inlineStr">
        <is>
          <t>APROBADO</t>
        </is>
      </c>
      <c r="F6" s="25" t="inlineStr">
        <is>
          <t>Flujo completo del chatbot</t>
        </is>
      </c>
      <c r="G6" s="25" t="inlineStr">
        <is>
          <t>Sesión de usuario estándar.</t>
        </is>
      </c>
      <c r="H6" s="25" t="inlineStr">
        <is>
          <t>1. Abrir Soporte.
2. Elegir “Problema técnico”.
3. Elegir prioridad “Alta”.
4. Escribir asunto.
5. Escribir descripción mayor a 10 caracteres.
6. Enviar.</t>
        </is>
      </c>
      <c r="I6" s="25" t="inlineStr">
        <is>
          <t>El bot avanza paso a paso, crea el ticket y muestra el código generado con mensaje de éxito.</t>
        </is>
      </c>
      <c r="J6" s="25" t="inlineStr">
        <is>
          <t>Ticket creado con código único; estado inicial “Abierto”; mensaje de confirmación visible.</t>
        </is>
      </c>
      <c r="K6" s="25" t="inlineStr"/>
      <c r="L6" s="26" t="inlineStr"/>
    </row>
    <row r="7" ht="43" customHeight="1">
      <c r="A7" s="29" t="inlineStr">
        <is>
          <t>CP-SOP-04</t>
        </is>
      </c>
      <c r="B7" s="28" t="inlineStr">
        <is>
          <t>Soporte / Usuario</t>
        </is>
      </c>
      <c r="C7" s="29" t="inlineStr">
        <is>
          <t>MEDIA</t>
        </is>
      </c>
      <c r="D7" s="28" t="inlineStr">
        <is>
          <t>Funcional</t>
        </is>
      </c>
      <c r="E7" s="29" t="inlineStr">
        <is>
          <t>APROBADO</t>
        </is>
      </c>
      <c r="F7" s="28" t="inlineStr">
        <is>
          <t>Validación de asunto vacío</t>
        </is>
      </c>
      <c r="G7" s="28" t="inlineStr">
        <is>
          <t>Estar en el paso “Asunto”.</t>
        </is>
      </c>
      <c r="H7" s="28" t="inlineStr">
        <is>
          <t>1. Dejar el campo vacío.
2. Presionar enviar.</t>
        </is>
      </c>
      <c r="I7" s="28" t="inlineStr">
        <is>
          <t>Se muestra “Escribí un asunto para continuar”; no se crea el ticket.</t>
        </is>
      </c>
      <c r="J7" s="28" t="inlineStr">
        <is>
          <t>Validación frontend verificada; la API también responde 400 si se fuerza el envío sin asunto.</t>
        </is>
      </c>
      <c r="K7" s="28" t="inlineStr"/>
      <c r="L7" s="29" t="inlineStr"/>
    </row>
    <row r="8" ht="30" customHeight="1">
      <c r="A8" s="26" t="inlineStr">
        <is>
          <t>CP-SOP-05</t>
        </is>
      </c>
      <c r="B8" s="25" t="inlineStr">
        <is>
          <t>Soporte / Usuario</t>
        </is>
      </c>
      <c r="C8" s="26" t="inlineStr">
        <is>
          <t>MEDIA</t>
        </is>
      </c>
      <c r="D8" s="25" t="inlineStr">
        <is>
          <t>Funcional</t>
        </is>
      </c>
      <c r="E8" s="26" t="inlineStr">
        <is>
          <t>APROBADO</t>
        </is>
      </c>
      <c r="F8" s="25" t="inlineStr">
        <is>
          <t>Validación de descripción demasiado corta</t>
        </is>
      </c>
      <c r="G8" s="25" t="inlineStr">
        <is>
          <t>Estar en el paso “Descripción”.</t>
        </is>
      </c>
      <c r="H8" s="25" t="inlineStr">
        <is>
          <t>1. Escribir menos de 10 caracteres.
2. Presionar enviar.</t>
        </is>
      </c>
      <c r="I8" s="25" t="inlineStr">
        <is>
          <t>Se muestra “Contame un poco más (mínimo 10 caracteres)”; no se crea el ticket.</t>
        </is>
      </c>
      <c r="J8" s="25" t="inlineStr">
        <is>
          <t>Validación implementada en el flujo; la API rechaza mensajes vacíos.</t>
        </is>
      </c>
      <c r="K8" s="25" t="inlineStr"/>
      <c r="L8" s="26" t="inlineStr"/>
    </row>
    <row r="9" ht="43" customHeight="1">
      <c r="A9" s="29" t="inlineStr">
        <is>
          <t>CP-SOP-06</t>
        </is>
      </c>
      <c r="B9" s="28" t="inlineStr">
        <is>
          <t>Soporte / Usuario</t>
        </is>
      </c>
      <c r="C9" s="29" t="inlineStr">
        <is>
          <t>ALTA</t>
        </is>
      </c>
      <c r="D9" s="28" t="inlineStr">
        <is>
          <t>Funcional</t>
        </is>
      </c>
      <c r="E9" s="29" t="inlineStr">
        <is>
          <t>APROBADO</t>
        </is>
      </c>
      <c r="F9" s="28" t="inlineStr">
        <is>
          <t>Creación de ticket con código único</t>
        </is>
      </c>
      <c r="G9" s="28" t="inlineStr">
        <is>
          <t>Flujo completo del chatbot.</t>
        </is>
      </c>
      <c r="H9" s="28" t="inlineStr">
        <is>
          <t>1. Crear un primer ticket.
2. Repetir el flujo y crear un segundo ticket.
3. Comparar códigos.</t>
        </is>
      </c>
      <c r="I9" s="28" t="inlineStr">
        <is>
          <t>Cada ticket recibe un código único con formato TK-AAAA-XXXXX; categoría, prioridad y estado son correctos.</t>
        </is>
      </c>
      <c r="J9" s="28" t="inlineStr">
        <is>
          <t>Dos códigos distintos generados; ambos persistidos correctamente.</t>
        </is>
      </c>
      <c r="K9" s="28" t="inlineStr"/>
      <c r="L9" s="29" t="inlineStr"/>
    </row>
    <row r="10" ht="43" customHeight="1">
      <c r="A10" s="26" t="inlineStr">
        <is>
          <t>CP-SOP-07</t>
        </is>
      </c>
      <c r="B10" s="25" t="inlineStr">
        <is>
          <t>Soporte / Usuario</t>
        </is>
      </c>
      <c r="C10" s="26" t="inlineStr">
        <is>
          <t>ALTA</t>
        </is>
      </c>
      <c r="D10" s="25" t="inlineStr">
        <is>
          <t>Funcional</t>
        </is>
      </c>
      <c r="E10" s="26" t="inlineStr">
        <is>
          <t>APROBADO</t>
        </is>
      </c>
      <c r="F10" s="25" t="inlineStr">
        <is>
          <t>“Mis tickets” muestra solo los tickets del usuario</t>
        </is>
      </c>
      <c r="G10" s="25" t="inlineStr">
        <is>
          <t>Usuario con tickets propios y tickets de otros usuarios en el sistema.</t>
        </is>
      </c>
      <c r="H10" s="25" t="inlineStr">
        <is>
          <t>1. Abrir “Mis tickets”.
2. Refrescar.
3. Comparar con la bandeja del administrador.</t>
        </is>
      </c>
      <c r="I10" s="25" t="inlineStr">
        <is>
          <t>Se muestran únicamente los tickets del usuario autenticado, con estado, fecha, categoría, prioridad y respuesta.</t>
        </is>
      </c>
      <c r="J10" s="25" t="inlineStr">
        <is>
          <t>Verificado; no se exponen tickets de otras cuentas.</t>
        </is>
      </c>
      <c r="K10" s="25" t="inlineStr"/>
      <c r="L10" s="26" t="inlineStr"/>
    </row>
    <row r="11" ht="43" customHeight="1">
      <c r="A11" s="29" t="inlineStr">
        <is>
          <t>CP-SOP-08</t>
        </is>
      </c>
      <c r="B11" s="28" t="inlineStr">
        <is>
          <t>Soporte / Usuario</t>
        </is>
      </c>
      <c r="C11" s="29" t="inlineStr">
        <is>
          <t>ALTA</t>
        </is>
      </c>
      <c r="D11" s="28" t="inlineStr">
        <is>
          <t>Funcional</t>
        </is>
      </c>
      <c r="E11" s="29" t="inlineStr">
        <is>
          <t>APROBADO</t>
        </is>
      </c>
      <c r="F11" s="28" t="inlineStr">
        <is>
          <t>Respuesta del administrador visible para el usuario</t>
        </is>
      </c>
      <c r="G11" s="28" t="inlineStr">
        <is>
          <t>Ticket respondido por el administrador.</t>
        </is>
      </c>
      <c r="H11" s="28" t="inlineStr">
        <is>
          <t>1. Abrir “Mis tickets”.
2. Localizar el ticket.
3. Leer el bloque “Respuesta del equipo”.</t>
        </is>
      </c>
      <c r="I11" s="28" t="inlineStr">
        <is>
          <t>El usuario ve la respuesta y el estado actualizado del ticket.</t>
        </is>
      </c>
      <c r="J11" s="28" t="inlineStr">
        <is>
          <t>Verificado con respuesta y cambio a “En proceso”.</t>
        </is>
      </c>
      <c r="K11" s="28" t="inlineStr"/>
      <c r="L11" s="29" t="inlineStr"/>
    </row>
    <row r="12" ht="30" customHeight="1">
      <c r="A12" s="26" t="inlineStr">
        <is>
          <t>CP-SOP-09</t>
        </is>
      </c>
      <c r="B12" s="25" t="inlineStr">
        <is>
          <t>Soporte / Usuario</t>
        </is>
      </c>
      <c r="C12" s="26" t="inlineStr">
        <is>
          <t>ALTA</t>
        </is>
      </c>
      <c r="D12" s="25" t="inlineStr">
        <is>
          <t>Funcional</t>
        </is>
      </c>
      <c r="E12" s="26" t="inlineStr">
        <is>
          <t>APROBADO</t>
        </is>
      </c>
      <c r="F12" s="25" t="inlineStr">
        <is>
          <t>Persistencia del ticket tras recargar</t>
        </is>
      </c>
      <c r="G12" s="25" t="inlineStr">
        <is>
          <t>Ticket creado.</t>
        </is>
      </c>
      <c r="H12" s="25" t="inlineStr">
        <is>
          <t>1. Recargar la página con F5.
2. Abrir nuevamente “Mis tickets”.</t>
        </is>
      </c>
      <c r="I12" s="25" t="inlineStr">
        <is>
          <t>El ticket sigue visible con su estado, respuesta y datos originales.</t>
        </is>
      </c>
      <c r="J12" s="25" t="inlineStr">
        <is>
          <t>Verificado; la información se recupera desde el backend.</t>
        </is>
      </c>
      <c r="K12" s="25" t="inlineStr"/>
      <c r="L12" s="26" t="inlineStr"/>
    </row>
    <row r="13" ht="56" customHeight="1">
      <c r="A13" s="29" t="inlineStr">
        <is>
          <t>CP-SOP-10</t>
        </is>
      </c>
      <c r="B13" s="28" t="inlineStr">
        <is>
          <t>Soporte / Usuario</t>
        </is>
      </c>
      <c r="C13" s="29" t="inlineStr">
        <is>
          <t>ALTA</t>
        </is>
      </c>
      <c r="D13" s="28" t="inlineStr">
        <is>
          <t>Funcional</t>
        </is>
      </c>
      <c r="E13" s="29" t="inlineStr">
        <is>
          <t>APROBADO</t>
        </is>
      </c>
      <c r="F13" s="28" t="inlineStr">
        <is>
          <t>Error 502/500 con backend no disponible</t>
        </is>
      </c>
      <c r="G13" s="28" t="inlineStr">
        <is>
          <t>Vite activo y backend detenido.</t>
        </is>
      </c>
      <c r="H13" s="28" t="inlineStr">
        <is>
          <t>1. Abrir “Mis tickets” o la bandeja.
2. Presionar “Actualizar”.
3. Esperar los reintentos.</t>
        </is>
      </c>
      <c r="I13" s="28" t="inlineStr">
        <is>
          <t>Se reintenta automáticamente y se muestra un mensaje amigable con botón “Reintentar”; no se muestra el error crudo “502 Bad Gateway”.</t>
        </is>
      </c>
      <c r="J13" s="28" t="inlineStr">
        <is>
          <t>Verificado; el proxy registró ECONNREFUSED y la UI mostró “El servidor de soporte está iniciando…” con reintento.</t>
        </is>
      </c>
      <c r="K13" s="28" t="inlineStr"/>
      <c r="L13" s="29" t="inlineStr"/>
    </row>
    <row r="14" ht="69" customHeight="1">
      <c r="A14" s="26" t="inlineStr">
        <is>
          <t>CP-SOP-11</t>
        </is>
      </c>
      <c r="B14" s="25" t="inlineStr">
        <is>
          <t>Soporte / Usuario</t>
        </is>
      </c>
      <c r="C14" s="26" t="inlineStr">
        <is>
          <t>MEDIA</t>
        </is>
      </c>
      <c r="D14" s="25" t="inlineStr">
        <is>
          <t>UX / Responsive</t>
        </is>
      </c>
      <c r="E14" s="26" t="inlineStr">
        <is>
          <t>PENDIENTE</t>
        </is>
      </c>
      <c r="F14" s="25" t="inlineStr">
        <is>
          <t>Responsive del widget en móvil</t>
        </is>
      </c>
      <c r="G14" s="25" t="inlineStr">
        <is>
          <t>Navegador con DevTools o dispositivo real en 360×640 y 390×844.</t>
        </is>
      </c>
      <c r="H14" s="25" t="inlineStr">
        <is>
          <t>1. Abrir el widget.
2. Recorrer el chatbot.
3. Crear un ticket.
4. Abrir “Mis tickets”.
5. Abrir el teclado virtual.</t>
        </is>
      </c>
      <c r="I14" s="25" t="inlineStr">
        <is>
          <t>El panel ocupa el ancho disponible, no se desborda, mantiene scroll interno y queda por encima de la barra inferior.</t>
        </is>
      </c>
      <c r="J14" s="25" t="inlineStr">
        <is>
          <t>Revisión de CSS responsive realizada; pendiente validación en dispositivo físico.</t>
        </is>
      </c>
      <c r="K14" s="25" t="inlineStr"/>
      <c r="L14" s="26" t="inlineStr"/>
    </row>
    <row r="15" ht="43" customHeight="1">
      <c r="A15" s="29" t="inlineStr">
        <is>
          <t>CP-SOP-12</t>
        </is>
      </c>
      <c r="B15" s="28" t="inlineStr">
        <is>
          <t>Soporte / Usuario</t>
        </is>
      </c>
      <c r="C15" s="29" t="inlineStr">
        <is>
          <t>MEDIA</t>
        </is>
      </c>
      <c r="D15" s="28" t="inlineStr">
        <is>
          <t>Funcional</t>
        </is>
      </c>
      <c r="E15" s="29" t="inlineStr">
        <is>
          <t>APROBADO</t>
        </is>
      </c>
      <c r="F15" s="28" t="inlineStr">
        <is>
          <t>Navegación entre “Nuevo ticket” y “Mis tickets”</t>
        </is>
      </c>
      <c r="G15" s="28" t="inlineStr">
        <is>
          <t>Sesión activa.</t>
        </is>
      </c>
      <c r="H15" s="28" t="inlineStr">
        <is>
          <t>1. Iniciar un ticket.
2. Cambiar a “Mis tickets”.
3. Volver a “Nuevo ticket”.</t>
        </is>
      </c>
      <c r="I15" s="28" t="inlineStr">
        <is>
          <t>La navegación no produce errores; el flujo se conserva o se reinicia de forma controlada.</t>
        </is>
      </c>
      <c r="J15" s="28" t="inlineStr">
        <is>
          <t>Verificado; cambio de pestañas sin errores.</t>
        </is>
      </c>
      <c r="K15" s="28" t="inlineStr"/>
      <c r="L15" s="29" t="inlineStr"/>
    </row>
    <row r="16" ht="43" customHeight="1">
      <c r="A16" s="26" t="inlineStr">
        <is>
          <t>CP-ADM-01</t>
        </is>
      </c>
      <c r="B16" s="25" t="inlineStr">
        <is>
          <t>Administración</t>
        </is>
      </c>
      <c r="C16" s="26" t="inlineStr">
        <is>
          <t>ALTA</t>
        </is>
      </c>
      <c r="D16" s="25" t="inlineStr">
        <is>
          <t>Funcional / Admin</t>
        </is>
      </c>
      <c r="E16" s="26" t="inlineStr">
        <is>
          <t>APROBADO</t>
        </is>
      </c>
      <c r="F16" s="25" t="inlineStr">
        <is>
          <t>Acceso al Panel de Administración</t>
        </is>
      </c>
      <c r="G16" s="25" t="inlineStr">
        <is>
          <t>Cuenta con rol admin o es_admin.</t>
        </is>
      </c>
      <c r="H16" s="25" t="inlineStr">
        <is>
          <t>1. Iniciar sesión como administrador.
2. Verificar el enlace “Admin” en el menú.
3. Abrir /dashboard/admin.</t>
        </is>
      </c>
      <c r="I16" s="25" t="inlineStr">
        <is>
          <t>El enlace “Admin” es visible y el panel carga KPIs, pestañas y datos del sistema.</t>
        </is>
      </c>
      <c r="J16" s="25" t="inlineStr">
        <is>
          <t>Verificado con deviseproyect@gmail.com; panel y KPIs cargados.</t>
        </is>
      </c>
      <c r="K16" s="25" t="inlineStr"/>
      <c r="L16" s="26" t="inlineStr"/>
    </row>
    <row r="17" ht="56" customHeight="1">
      <c r="A17" s="29" t="inlineStr">
        <is>
          <t>CP-ADM-02</t>
        </is>
      </c>
      <c r="B17" s="28" t="inlineStr">
        <is>
          <t>Administración</t>
        </is>
      </c>
      <c r="C17" s="29" t="inlineStr">
        <is>
          <t>ALTA</t>
        </is>
      </c>
      <c r="D17" s="28" t="inlineStr">
        <is>
          <t>Funcional / Admin</t>
        </is>
      </c>
      <c r="E17" s="29" t="inlineStr">
        <is>
          <t>APROBADO</t>
        </is>
      </c>
      <c r="F17" s="28" t="inlineStr">
        <is>
          <t>Usuario no administrador sin acceso</t>
        </is>
      </c>
      <c r="G17" s="28" t="inlineStr">
        <is>
          <t>Cuenta estándar.</t>
        </is>
      </c>
      <c r="H17" s="28" t="inlineStr">
        <is>
          <t>1. Iniciar sesión como usuario.
2. Revisar el menú.
3. Intentar abrir /dashboard/admin.
4. Consultar una API de admin.</t>
        </is>
      </c>
      <c r="I17" s="28" t="inlineStr">
        <is>
          <t>No se muestra el enlace “Admin” ni la pestaña “Bandeja”; las APIs de administración responden 403.</t>
        </is>
      </c>
      <c r="J17" s="28" t="inlineStr">
        <is>
          <t>Verificado: sin enlace Admin, sin Bandeja y GET /api/admin/tickets respondió 403.</t>
        </is>
      </c>
      <c r="K17" s="28" t="inlineStr"/>
      <c r="L17" s="29" t="inlineStr"/>
    </row>
    <row r="18" ht="43" customHeight="1">
      <c r="A18" s="26" t="inlineStr">
        <is>
          <t>CP-ADM-03</t>
        </is>
      </c>
      <c r="B18" s="25" t="inlineStr">
        <is>
          <t>Administración</t>
        </is>
      </c>
      <c r="C18" s="26" t="inlineStr">
        <is>
          <t>ALTA</t>
        </is>
      </c>
      <c r="D18" s="25" t="inlineStr">
        <is>
          <t>Funcional / Admin</t>
        </is>
      </c>
      <c r="E18" s="26" t="inlineStr">
        <is>
          <t>APROBADO</t>
        </is>
      </c>
      <c r="F18" s="25" t="inlineStr">
        <is>
          <t>Pestaña “Tickets de Soporte”</t>
        </is>
      </c>
      <c r="G18" s="25" t="inlineStr">
        <is>
          <t>Sesión de administrador.</t>
        </is>
      </c>
      <c r="H18" s="25" t="inlineStr">
        <is>
          <t>1. Abrir el Panel de Administración.
2. Hacer clic en “Tickets de Soporte”.</t>
        </is>
      </c>
      <c r="I18" s="25" t="inlineStr">
        <is>
          <t>Se muestra el listado con código, estado, prioridad, usuario, asunto, mensaje y acciones.</t>
        </is>
      </c>
      <c r="J18" s="25" t="inlineStr">
        <is>
          <t>Verificado; tarjetas con todos los datos y botones de gestión.</t>
        </is>
      </c>
      <c r="K18" s="25" t="inlineStr"/>
      <c r="L18" s="26" t="inlineStr"/>
    </row>
    <row r="19" ht="43" customHeight="1">
      <c r="A19" s="29" t="inlineStr">
        <is>
          <t>CP-ADM-04</t>
        </is>
      </c>
      <c r="B19" s="28" t="inlineStr">
        <is>
          <t>Administración</t>
        </is>
      </c>
      <c r="C19" s="29" t="inlineStr">
        <is>
          <t>MEDIA</t>
        </is>
      </c>
      <c r="D19" s="28" t="inlineStr">
        <is>
          <t>Funcional / Admin</t>
        </is>
      </c>
      <c r="E19" s="29" t="inlineStr">
        <is>
          <t>APROBADO</t>
        </is>
      </c>
      <c r="F19" s="28" t="inlineStr">
        <is>
          <t>KPI de tickets y contador de abiertos</t>
        </is>
      </c>
      <c r="G19" s="28" t="inlineStr">
        <is>
          <t>Panel con tickets cargados.</t>
        </is>
      </c>
      <c r="H19" s="28" t="inlineStr">
        <is>
          <t>1. Observar la tarjeta “Tickets de Soporte”.
2. Comparar con el listado.
3. Resolver un ticket y refrescar.</t>
        </is>
      </c>
      <c r="I19" s="28" t="inlineStr">
        <is>
          <t>El KPI muestra el total y el badge de abiertos; se actualiza al cambiar estados.</t>
        </is>
      </c>
      <c r="J19" s="28" t="inlineStr">
        <is>
          <t>Verificado; badge “1 abiertos” y actualización tras resolver.</t>
        </is>
      </c>
      <c r="K19" s="28" t="inlineStr"/>
      <c r="L19" s="29" t="inlineStr"/>
    </row>
    <row r="20" ht="30" customHeight="1">
      <c r="A20" s="26" t="inlineStr">
        <is>
          <t>CP-ADM-05</t>
        </is>
      </c>
      <c r="B20" s="25" t="inlineStr">
        <is>
          <t>Administración</t>
        </is>
      </c>
      <c r="C20" s="26" t="inlineStr">
        <is>
          <t>ALTA</t>
        </is>
      </c>
      <c r="D20" s="25" t="inlineStr">
        <is>
          <t>Funcional / Admin</t>
        </is>
      </c>
      <c r="E20" s="26" t="inlineStr">
        <is>
          <t>APROBADO</t>
        </is>
      </c>
      <c r="F20" s="25" t="inlineStr">
        <is>
          <t>Bandeja del administrador en el widget</t>
        </is>
      </c>
      <c r="G20" s="25" t="inlineStr">
        <is>
          <t>Sesión de administrador.</t>
        </is>
      </c>
      <c r="H20" s="25" t="inlineStr">
        <is>
          <t>1. Abrir el icono “Soporte”.
2. Ir a la pestaña “Bandeja”.</t>
        </is>
      </c>
      <c r="I20" s="25" t="inlineStr">
        <is>
          <t>Se muestran todos los tickets de todos los usuarios, no solo los del administrador.</t>
        </is>
      </c>
      <c r="J20" s="25" t="inlineStr">
        <is>
          <t>Verificado; la bandeja mostró el ticket de “Usuario Demo”.</t>
        </is>
      </c>
      <c r="K20" s="25" t="inlineStr"/>
      <c r="L20" s="26" t="inlineStr"/>
    </row>
    <row r="21" ht="30" customHeight="1">
      <c r="A21" s="29" t="inlineStr">
        <is>
          <t>CP-ADM-06</t>
        </is>
      </c>
      <c r="B21" s="28" t="inlineStr">
        <is>
          <t>Administración</t>
        </is>
      </c>
      <c r="C21" s="29" t="inlineStr">
        <is>
          <t>MEDIA</t>
        </is>
      </c>
      <c r="D21" s="28" t="inlineStr">
        <is>
          <t>Funcional / Admin</t>
        </is>
      </c>
      <c r="E21" s="29" t="inlineStr">
        <is>
          <t>APROBADO</t>
        </is>
      </c>
      <c r="F21" s="28" t="inlineStr">
        <is>
          <t>Marcado de ticket como leído</t>
        </is>
      </c>
      <c r="G21" s="28" t="inlineStr">
        <is>
          <t>Ticket sin leer.</t>
        </is>
      </c>
      <c r="H21" s="28" t="inlineStr">
        <is>
          <t>1. Abrir el detalle o iniciar una respuesta.
2. Volver al listado.</t>
        </is>
      </c>
      <c r="I21" s="28" t="inlineStr">
        <is>
          <t>El ticket deja de mostrar “Nuevo”; el contador de no leídos disminuye.</t>
        </is>
      </c>
      <c r="J21" s="28" t="inlineStr">
        <is>
          <t>Verificado; unread pasó a 0 tras abrir/responder.</t>
        </is>
      </c>
      <c r="K21" s="28" t="inlineStr"/>
      <c r="L21" s="29" t="inlineStr"/>
    </row>
    <row r="22" ht="30" customHeight="1">
      <c r="A22" s="26" t="inlineStr">
        <is>
          <t>CP-ADM-07</t>
        </is>
      </c>
      <c r="B22" s="25" t="inlineStr">
        <is>
          <t>Administración</t>
        </is>
      </c>
      <c r="C22" s="26" t="inlineStr">
        <is>
          <t>ALTA</t>
        </is>
      </c>
      <c r="D22" s="25" t="inlineStr">
        <is>
          <t>Funcional / Admin</t>
        </is>
      </c>
      <c r="E22" s="26" t="inlineStr">
        <is>
          <t>APROBADO</t>
        </is>
      </c>
      <c r="F22" s="25" t="inlineStr">
        <is>
          <t>Tomar ticket</t>
        </is>
      </c>
      <c r="G22" s="25" t="inlineStr">
        <is>
          <t>Ticket en estado Abierto.</t>
        </is>
      </c>
      <c r="H22" s="25" t="inlineStr">
        <is>
          <t>1. Hacer clic en “Tomar” o “Tomar ticket”.</t>
        </is>
      </c>
      <c r="I22" s="25" t="inlineStr">
        <is>
          <t>El estado cambia a “En proceso” y se mantiene al refrescar.</t>
        </is>
      </c>
      <c r="J22" s="25" t="inlineStr">
        <is>
          <t>Verificado por UI y API (PUT con estado en_proceso).</t>
        </is>
      </c>
      <c r="K22" s="25" t="inlineStr"/>
      <c r="L22" s="26" t="inlineStr"/>
    </row>
    <row r="23" ht="43" customHeight="1">
      <c r="A23" s="29" t="inlineStr">
        <is>
          <t>CP-ADM-08</t>
        </is>
      </c>
      <c r="B23" s="28" t="inlineStr">
        <is>
          <t>Administración</t>
        </is>
      </c>
      <c r="C23" s="29" t="inlineStr">
        <is>
          <t>ALTA</t>
        </is>
      </c>
      <c r="D23" s="28" t="inlineStr">
        <is>
          <t>Funcional / Admin</t>
        </is>
      </c>
      <c r="E23" s="29" t="inlineStr">
        <is>
          <t>APROBADO</t>
        </is>
      </c>
      <c r="F23" s="28" t="inlineStr">
        <is>
          <t>Resolver ticket</t>
        </is>
      </c>
      <c r="G23" s="28" t="inlineStr">
        <is>
          <t>Ticket en estado Abierto o En proceso.</t>
        </is>
      </c>
      <c r="H23" s="28" t="inlineStr">
        <is>
          <t>1. Hacer clic en “Resolver”.</t>
        </is>
      </c>
      <c r="I23" s="28" t="inlineStr">
        <is>
          <t>El estado cambia a “Resuelto”; las acciones se actualizan y se registra la fecha de resolución.</t>
        </is>
      </c>
      <c r="J23" s="28" t="inlineStr">
        <is>
          <t>Verificado; estado “Resuelto” y acciones “Reabrir”.</t>
        </is>
      </c>
      <c r="K23" s="28" t="inlineStr"/>
      <c r="L23" s="29" t="inlineStr"/>
    </row>
    <row r="24" ht="30" customHeight="1">
      <c r="A24" s="26" t="inlineStr">
        <is>
          <t>CP-ADM-09</t>
        </is>
      </c>
      <c r="B24" s="25" t="inlineStr">
        <is>
          <t>Administración</t>
        </is>
      </c>
      <c r="C24" s="26" t="inlineStr">
        <is>
          <t>MEDIA</t>
        </is>
      </c>
      <c r="D24" s="25" t="inlineStr">
        <is>
          <t>Funcional / Admin</t>
        </is>
      </c>
      <c r="E24" s="26" t="inlineStr">
        <is>
          <t>PENDIENTE</t>
        </is>
      </c>
      <c r="F24" s="25" t="inlineStr">
        <is>
          <t>Reabrir ticket</t>
        </is>
      </c>
      <c r="G24" s="25" t="inlineStr">
        <is>
          <t>Ticket en estado Resuelto.</t>
        </is>
      </c>
      <c r="H24" s="25" t="inlineStr">
        <is>
          <t>1. Hacer clic en “Reabrir”.</t>
        </is>
      </c>
      <c r="I24" s="25" t="inlineStr">
        <is>
          <t>El estado vuelve a “Abierto” y el ticket puede atenderse nuevamente.</t>
        </is>
      </c>
      <c r="J24" s="25" t="inlineStr">
        <is>
          <t>No ejecutado en esta ronda; misma API que “Tomar”/“Resolver”.</t>
        </is>
      </c>
      <c r="K24" s="25" t="inlineStr"/>
      <c r="L24" s="26" t="inlineStr"/>
    </row>
    <row r="25" ht="43" customHeight="1">
      <c r="A25" s="29" t="inlineStr">
        <is>
          <t>CP-ADM-10</t>
        </is>
      </c>
      <c r="B25" s="28" t="inlineStr">
        <is>
          <t>Administración</t>
        </is>
      </c>
      <c r="C25" s="29" t="inlineStr">
        <is>
          <t>ALTA</t>
        </is>
      </c>
      <c r="D25" s="28" t="inlineStr">
        <is>
          <t>Funcional / Admin</t>
        </is>
      </c>
      <c r="E25" s="29" t="inlineStr">
        <is>
          <t>APROBADO</t>
        </is>
      </c>
      <c r="F25" s="28" t="inlineStr">
        <is>
          <t>Responder desde la bandeja del widget</t>
        </is>
      </c>
      <c r="G25" s="28" t="inlineStr">
        <is>
          <t>Ticket abierto en la bandeja.</t>
        </is>
      </c>
      <c r="H25" s="28" t="inlineStr">
        <is>
          <t>1. Hacer clic en “Responder”.
2. Escribir la respuesta.
3. Guardar.</t>
        </is>
      </c>
      <c r="I25" s="28" t="inlineStr">
        <is>
          <t>La respuesta se guarda, el estado pasa a “En proceso” y el usuario la ve en “Mis tickets”.</t>
        </is>
      </c>
      <c r="J25" s="28" t="inlineStr">
        <is>
          <t>Verificado; respuesta visible en el ticket y en la vista del usuario.</t>
        </is>
      </c>
      <c r="K25" s="28" t="inlineStr"/>
      <c r="L25" s="29" t="inlineStr"/>
    </row>
    <row r="26" ht="43" customHeight="1">
      <c r="A26" s="26" t="inlineStr">
        <is>
          <t>CP-ADM-11</t>
        </is>
      </c>
      <c r="B26" s="25" t="inlineStr">
        <is>
          <t>Administración</t>
        </is>
      </c>
      <c r="C26" s="26" t="inlineStr">
        <is>
          <t>ALTA</t>
        </is>
      </c>
      <c r="D26" s="25" t="inlineStr">
        <is>
          <t>Funcional / Admin</t>
        </is>
      </c>
      <c r="E26" s="26" t="inlineStr">
        <is>
          <t>APROBADO</t>
        </is>
      </c>
      <c r="F26" s="25" t="inlineStr">
        <is>
          <t>Responder desde el panel admin (modal)</t>
        </is>
      </c>
      <c r="G26" s="25" t="inlineStr">
        <is>
          <t>Ticket visible en la pestaña de tickets.</t>
        </is>
      </c>
      <c r="H26" s="25" t="inlineStr">
        <is>
          <t>1. Hacer clic en “Ver detalle”.
2. Escribir la respuesta.
3. Guardar respuesta.</t>
        </is>
      </c>
      <c r="I26" s="25" t="inlineStr">
        <is>
          <t>La respuesta se guarda, el ticket se marca como leído y cambia a “En proceso”.</t>
        </is>
      </c>
      <c r="J26" s="25" t="inlineStr">
        <is>
          <t>Verificado; modal, guardado y actualización de estado.</t>
        </is>
      </c>
      <c r="K26" s="25" t="inlineStr"/>
      <c r="L26" s="26" t="inlineStr"/>
    </row>
    <row r="27" ht="43" customHeight="1">
      <c r="A27" s="29" t="inlineStr">
        <is>
          <t>CP-ADM-12</t>
        </is>
      </c>
      <c r="B27" s="28" t="inlineStr">
        <is>
          <t>Administración</t>
        </is>
      </c>
      <c r="C27" s="29" t="inlineStr">
        <is>
          <t>BAJA</t>
        </is>
      </c>
      <c r="D27" s="28" t="inlineStr">
        <is>
          <t>Funcional / Admin</t>
        </is>
      </c>
      <c r="E27" s="29" t="inlineStr">
        <is>
          <t>PENDIENTE</t>
        </is>
      </c>
      <c r="F27" s="28" t="inlineStr">
        <is>
          <t>Responder por correo</t>
        </is>
      </c>
      <c r="G27" s="28" t="inlineStr">
        <is>
          <t>Cliente de correo configurado.</t>
        </is>
      </c>
      <c r="H27" s="28" t="inlineStr">
        <is>
          <t>1. Hacer clic en “Responder por correo” o “Enviar por correo”.</t>
        </is>
      </c>
      <c r="I27" s="28" t="inlineStr">
        <is>
          <t>Se abre el cliente de correo con asunto [código] y cuerpo con el ticket y la respuesta.</t>
        </is>
      </c>
      <c r="J27" s="28" t="inlineStr">
        <is>
          <t>Pendiente de validación con cliente de correo real.</t>
        </is>
      </c>
      <c r="K27" s="28" t="inlineStr"/>
      <c r="L27" s="29" t="inlineStr"/>
    </row>
    <row r="28" ht="30" customHeight="1">
      <c r="A28" s="26" t="inlineStr">
        <is>
          <t>CP-ADM-13</t>
        </is>
      </c>
      <c r="B28" s="25" t="inlineStr">
        <is>
          <t>Administración</t>
        </is>
      </c>
      <c r="C28" s="26" t="inlineStr">
        <is>
          <t>ALTA</t>
        </is>
      </c>
      <c r="D28" s="25" t="inlineStr">
        <is>
          <t>Funcional / Admin</t>
        </is>
      </c>
      <c r="E28" s="26" t="inlineStr">
        <is>
          <t>APROBADO</t>
        </is>
      </c>
      <c r="F28" s="25" t="inlineStr">
        <is>
          <t>Eliminar ticket</t>
        </is>
      </c>
      <c r="G28" s="25" t="inlineStr">
        <is>
          <t>Ticket existente.</t>
        </is>
      </c>
      <c r="H28" s="25" t="inlineStr">
        <is>
          <t>1. Hacer clic en “Eliminar”.
2. Confirmar la acción.</t>
        </is>
      </c>
      <c r="I28" s="25" t="inlineStr">
        <is>
          <t>El ticket desaparece, se muestra un toast y no reaparece al refrescar.</t>
        </is>
      </c>
      <c r="J28" s="25" t="inlineStr">
        <is>
          <t>Verificado por UI y API; el listado quedó con un ticket menos.</t>
        </is>
      </c>
      <c r="K28" s="25" t="inlineStr"/>
      <c r="L28" s="26" t="inlineStr"/>
    </row>
    <row r="29" ht="30" customHeight="1">
      <c r="A29" s="29" t="inlineStr">
        <is>
          <t>CP-ADM-14</t>
        </is>
      </c>
      <c r="B29" s="28" t="inlineStr">
        <is>
          <t>Administración</t>
        </is>
      </c>
      <c r="C29" s="29" t="inlineStr">
        <is>
          <t>MEDIA</t>
        </is>
      </c>
      <c r="D29" s="28" t="inlineStr">
        <is>
          <t>Funcional / Admin</t>
        </is>
      </c>
      <c r="E29" s="29" t="inlineStr">
        <is>
          <t>APROBADO</t>
        </is>
      </c>
      <c r="F29" s="28" t="inlineStr">
        <is>
          <t>Filtros y búsqueda de tickets</t>
        </is>
      </c>
      <c r="G29" s="28" t="inlineStr">
        <is>
          <t>Varios tickets con distinto estado y texto.</t>
        </is>
      </c>
      <c r="H29" s="28" t="inlineStr">
        <is>
          <t>1. Buscar por código, asunto o email.
2. Usar filtros “Todos”, “Abiertos” y “Resueltos”.</t>
        </is>
      </c>
      <c r="I29" s="28" t="inlineStr">
        <is>
          <t>El listado se filtra correctamente sin recargar la página.</t>
        </is>
      </c>
      <c r="J29" s="28" t="inlineStr">
        <is>
          <t>Verificado: búsqueda “Bitcoin” mostró 1 de 2 tickets; filtro “Abiertos” mostró 2.</t>
        </is>
      </c>
      <c r="K29" s="28" t="inlineStr"/>
      <c r="L29" s="29" t="inlineStr"/>
    </row>
    <row r="30" ht="43" customHeight="1">
      <c r="A30" s="26" t="inlineStr">
        <is>
          <t>CP-ADM-15</t>
        </is>
      </c>
      <c r="B30" s="25" t="inlineStr">
        <is>
          <t>Administración</t>
        </is>
      </c>
      <c r="C30" s="26" t="inlineStr">
        <is>
          <t>MEDIA</t>
        </is>
      </c>
      <c r="D30" s="25" t="inlineStr">
        <is>
          <t>UX / Responsive</t>
        </is>
      </c>
      <c r="E30" s="26" t="inlineStr">
        <is>
          <t>PENDIENTE</t>
        </is>
      </c>
      <c r="F30" s="25" t="inlineStr">
        <is>
          <t>Responsive del Panel de Administración</t>
        </is>
      </c>
      <c r="G30" s="25" t="inlineStr">
        <is>
          <t>Navegador en 360×640, 390×844 y 768×1024.</t>
        </is>
      </c>
      <c r="H30" s="25" t="inlineStr">
        <is>
          <t>1. Abrir el panel.
2. Recorrer pestañas, tarjetas y modal.
3. Probar filtros y acciones.</t>
        </is>
      </c>
      <c r="I30" s="25" t="inlineStr">
        <is>
          <t>Las pestañas se desplazan horizontalmente, las tarjetas se apilan, los botones son accesibles y el modal tiene scroll.</t>
        </is>
      </c>
      <c r="J30" s="25" t="inlineStr">
        <is>
          <t>Revisión de CSS realizada; pendiente validación en dispositivo físico.</t>
        </is>
      </c>
      <c r="K30" s="25" t="inlineStr"/>
      <c r="L30" s="26" t="inlineStr"/>
    </row>
    <row r="31" ht="43" customHeight="1">
      <c r="A31" s="29" t="inlineStr">
        <is>
          <t>CP-ADM-16</t>
        </is>
      </c>
      <c r="B31" s="28" t="inlineStr">
        <is>
          <t>Administración</t>
        </is>
      </c>
      <c r="C31" s="29" t="inlineStr">
        <is>
          <t>ALTA</t>
        </is>
      </c>
      <c r="D31" s="28" t="inlineStr">
        <is>
          <t>Funcional / Admin</t>
        </is>
      </c>
      <c r="E31" s="29" t="inlineStr">
        <is>
          <t>APROBADO</t>
        </is>
      </c>
      <c r="F31" s="28" t="inlineStr">
        <is>
          <t>Persistencia de estado y respuesta</t>
        </is>
      </c>
      <c r="G31" s="28" t="inlineStr">
        <is>
          <t>Ticket con estado/respuesta modificados.</t>
        </is>
      </c>
      <c r="H31" s="28" t="inlineStr">
        <is>
          <t>1. Cambiar estado y guardar respuesta.
2. Recargar el panel.
3. Abrir el mismo ticket.</t>
        </is>
      </c>
      <c r="I31" s="28" t="inlineStr">
        <is>
          <t>El estado, la respuesta y la marca de leído se mantienen.</t>
        </is>
      </c>
      <c r="J31" s="28" t="inlineStr">
        <is>
          <t>Verificado tras recargar la página y consultar nuevamente la bandeja.</t>
        </is>
      </c>
      <c r="K31" s="28" t="inlineStr"/>
      <c r="L31" s="29" t="inlineStr"/>
    </row>
    <row r="32" ht="43" customHeight="1">
      <c r="A32" s="26" t="inlineStr">
        <is>
          <t>CP-INT-01</t>
        </is>
      </c>
      <c r="B32" s="25" t="inlineStr">
        <is>
          <t>Integración / Backend</t>
        </is>
      </c>
      <c r="C32" s="26" t="inlineStr">
        <is>
          <t>ALTA</t>
        </is>
      </c>
      <c r="D32" s="25" t="inlineStr">
        <is>
          <t>API / Integración</t>
        </is>
      </c>
      <c r="E32" s="26" t="inlineStr">
        <is>
          <t>APROBADO</t>
        </is>
      </c>
      <c r="F32" s="25" t="inlineStr">
        <is>
          <t>POST /api/support/tickets</t>
        </is>
      </c>
      <c r="G32" s="25" t="inlineStr">
        <is>
          <t>Token JWT de usuario válido.</t>
        </is>
      </c>
      <c r="H32" s="25" t="inlineStr">
        <is>
          <t>1. Enviar categoría, prioridad, asunto y mensaje válidos.
2. Revisar la respuesta.</t>
        </is>
      </c>
      <c r="I32" s="25" t="inlineStr">
        <is>
          <t>HTTP 201 con success, mensaje y objeto ticket con id, código y estado “Abierto”.</t>
        </is>
      </c>
      <c r="J32" s="25" t="inlineStr">
        <is>
          <t>Verificado: 201 y código TK-... generado.</t>
        </is>
      </c>
      <c r="K32" s="25" t="inlineStr"/>
      <c r="L32" s="26" t="inlineStr"/>
    </row>
    <row r="33" ht="30" customHeight="1">
      <c r="A33" s="29" t="inlineStr">
        <is>
          <t>CP-INT-02</t>
        </is>
      </c>
      <c r="B33" s="28" t="inlineStr">
        <is>
          <t>Integración / Backend</t>
        </is>
      </c>
      <c r="C33" s="29" t="inlineStr">
        <is>
          <t>ALTA</t>
        </is>
      </c>
      <c r="D33" s="28" t="inlineStr">
        <is>
          <t>API / Integración</t>
        </is>
      </c>
      <c r="E33" s="29" t="inlineStr">
        <is>
          <t>APROBADO</t>
        </is>
      </c>
      <c r="F33" s="28" t="inlineStr">
        <is>
          <t>GET /api/support/tickets</t>
        </is>
      </c>
      <c r="G33" s="28" t="inlineStr">
        <is>
          <t>Token de usuario con tickets propios.</t>
        </is>
      </c>
      <c r="H33" s="28" t="inlineStr">
        <is>
          <t>1. Consultar el endpoint.
2. Comparar con los tickets de otros usuarios.</t>
        </is>
      </c>
      <c r="I33" s="28" t="inlineStr">
        <is>
          <t>HTTP 200 con únicamente los tickets del usuario autenticado.</t>
        </is>
      </c>
      <c r="J33" s="28" t="inlineStr">
        <is>
          <t>Verificado; el usuario recibió su ticket y no los ajenos.</t>
        </is>
      </c>
      <c r="K33" s="28" t="inlineStr"/>
      <c r="L33" s="29" t="inlineStr"/>
    </row>
    <row r="34" ht="30" customHeight="1">
      <c r="A34" s="26" t="inlineStr">
        <is>
          <t>CP-INT-03</t>
        </is>
      </c>
      <c r="B34" s="25" t="inlineStr">
        <is>
          <t>Integración / Backend</t>
        </is>
      </c>
      <c r="C34" s="26" t="inlineStr">
        <is>
          <t>ALTA</t>
        </is>
      </c>
      <c r="D34" s="25" t="inlineStr">
        <is>
          <t>API / Integración</t>
        </is>
      </c>
      <c r="E34" s="26" t="inlineStr">
        <is>
          <t>APROBADO</t>
        </is>
      </c>
      <c r="F34" s="25" t="inlineStr">
        <is>
          <t>GET /api/admin/tickets y control de rol</t>
        </is>
      </c>
      <c r="G34" s="25" t="inlineStr">
        <is>
          <t>Tokens de admin y de usuario estándar.</t>
        </is>
      </c>
      <c r="H34" s="25" t="inlineStr">
        <is>
          <t>1. Consultar con token admin.
2. Consultar con token usuario.</t>
        </is>
      </c>
      <c r="I34" s="25" t="inlineStr">
        <is>
          <t>Admin: HTTP 200 con todos los tickets. Usuario: HTTP 403.</t>
        </is>
      </c>
      <c r="J34" s="25" t="inlineStr">
        <is>
          <t>Verificado: 200 para admin y 403 para usuario.</t>
        </is>
      </c>
      <c r="K34" s="25" t="inlineStr"/>
      <c r="L34" s="26" t="inlineStr"/>
    </row>
    <row r="35" ht="56" customHeight="1">
      <c r="A35" s="29" t="inlineStr">
        <is>
          <t>CP-INT-04</t>
        </is>
      </c>
      <c r="B35" s="28" t="inlineStr">
        <is>
          <t>Integración / Backend</t>
        </is>
      </c>
      <c r="C35" s="29" t="inlineStr">
        <is>
          <t>ALTA</t>
        </is>
      </c>
      <c r="D35" s="28" t="inlineStr">
        <is>
          <t>API / Integración</t>
        </is>
      </c>
      <c r="E35" s="29" t="inlineStr">
        <is>
          <t>APROBADO</t>
        </is>
      </c>
      <c r="F35" s="28" t="inlineStr">
        <is>
          <t>PUT /api/admin/tickets/:id</t>
        </is>
      </c>
      <c r="G35" s="28" t="inlineStr">
        <is>
          <t>Ticket existente y token admin.</t>
        </is>
      </c>
      <c r="H35" s="28" t="inlineStr">
        <is>
          <t>1. Actualizar estado.
2. Guardar respuesta.
3. Marcar como leído.
4. Enviar estado inválido.</t>
        </is>
      </c>
      <c r="I35" s="28" t="inlineStr">
        <is>
          <t>HTTP 200 con ticket actualizado; HTTP 400 para estado inválido.</t>
        </is>
      </c>
      <c r="J35" s="28" t="inlineStr">
        <is>
          <t>Verificado: estado en_proceso, respuesta y leido: true; validación de estado.</t>
        </is>
      </c>
      <c r="K35" s="28" t="inlineStr"/>
      <c r="L35" s="29" t="inlineStr"/>
    </row>
    <row r="36" ht="30" customHeight="1">
      <c r="A36" s="26" t="inlineStr">
        <is>
          <t>CP-INT-05</t>
        </is>
      </c>
      <c r="B36" s="25" t="inlineStr">
        <is>
          <t>Integración / Backend</t>
        </is>
      </c>
      <c r="C36" s="26" t="inlineStr">
        <is>
          <t>ALTA</t>
        </is>
      </c>
      <c r="D36" s="25" t="inlineStr">
        <is>
          <t>API / Integración</t>
        </is>
      </c>
      <c r="E36" s="26" t="inlineStr">
        <is>
          <t>APROBADO</t>
        </is>
      </c>
      <c r="F36" s="25" t="inlineStr">
        <is>
          <t>DELETE /api/admin/tickets/:id</t>
        </is>
      </c>
      <c r="G36" s="25" t="inlineStr">
        <is>
          <t>Ticket existente y token admin.</t>
        </is>
      </c>
      <c r="H36" s="25" t="inlineStr">
        <is>
          <t>1. Eliminar el ticket.
2. Consultar el listado.</t>
        </is>
      </c>
      <c r="I36" s="25" t="inlineStr">
        <is>
          <t>HTTP 200; el ticket ya no aparece en la bandeja.</t>
        </is>
      </c>
      <c r="J36" s="25" t="inlineStr">
        <is>
          <t>Verificado; el ticket eliminado no reapareció.</t>
        </is>
      </c>
      <c r="K36" s="25" t="inlineStr"/>
      <c r="L36" s="26" t="inlineStr"/>
    </row>
    <row r="37" ht="43" customHeight="1">
      <c r="A37" s="29" t="inlineStr">
        <is>
          <t>CP-INT-06</t>
        </is>
      </c>
      <c r="B37" s="28" t="inlineStr">
        <is>
          <t>Integración / Backend</t>
        </is>
      </c>
      <c r="C37" s="29" t="inlineStr">
        <is>
          <t>ALTA</t>
        </is>
      </c>
      <c r="D37" s="28" t="inlineStr">
        <is>
          <t>API / Integración</t>
        </is>
      </c>
      <c r="E37" s="29" t="inlineStr">
        <is>
          <t>PARCIAL</t>
        </is>
      </c>
      <c r="F37" s="28" t="inlineStr">
        <is>
          <t>Migración 013 y respaldo JSON</t>
        </is>
      </c>
      <c r="G37" s="28" t="inlineStr">
        <is>
          <t>Backend con y sin DATABASE_URL.</t>
        </is>
      </c>
      <c r="H37" s="28" t="inlineStr">
        <is>
          <t>1. Con DB: iniciar backend y verificar la tabla soporte_tickets.
2. Sin DB: crear un ticket y verificar el JSON.</t>
        </is>
      </c>
      <c r="I37" s="28" t="inlineStr">
        <is>
          <t>La migración crea la tabla y el sistema funciona; sin DB, el ticket se guarda en soporte_tickets.json.</t>
        </is>
      </c>
      <c r="J37" s="28" t="inlineStr">
        <is>
          <t>Respaldo JSON verificado. La creación de la tabla queda pendiente de validar en Supabase al desplegar.</t>
        </is>
      </c>
      <c r="K37" s="28" t="inlineStr"/>
      <c r="L37" s="29" t="inlineStr"/>
    </row>
    <row r="38" ht="43" customHeight="1">
      <c r="A38" s="26" t="inlineStr">
        <is>
          <t>CP-INT-07</t>
        </is>
      </c>
      <c r="B38" s="25" t="inlineStr">
        <is>
          <t>Integración / Backend</t>
        </is>
      </c>
      <c r="C38" s="26" t="inlineStr">
        <is>
          <t>MEDIA</t>
        </is>
      </c>
      <c r="D38" s="25" t="inlineStr">
        <is>
          <t>API / Integración</t>
        </is>
      </c>
      <c r="E38" s="26" t="inlineStr">
        <is>
          <t>PARCIAL</t>
        </is>
      </c>
      <c r="F38" s="25" t="inlineStr">
        <is>
          <t>Notificación por correo y auditoría</t>
        </is>
      </c>
      <c r="G38" s="25" t="inlineStr">
        <is>
          <t>Variables de correo configuradas o modo simulación.</t>
        </is>
      </c>
      <c r="H38" s="25" t="inlineStr">
        <is>
          <t>1. Crear un ticket.
2. Revisar la consola/correo del admin.
3. Revisar “Gmails Enviados”.</t>
        </is>
      </c>
      <c r="I38" s="25" t="inlineStr">
        <is>
          <t>Se envía/registra un correo con código, categoría, prioridad y mensaje; queda en auditoría.</t>
        </is>
      </c>
      <c r="J38" s="25" t="inlineStr">
        <is>
          <t>Verificado en modo simulación y auditoría. El envío real por Gmail queda pendiente de validar con credenciales.</t>
        </is>
      </c>
      <c r="K38" s="25" t="inlineStr"/>
      <c r="L38" s="26" t="inlineStr"/>
    </row>
    <row r="39" ht="43" customHeight="1">
      <c r="A39" s="29" t="inlineStr">
        <is>
          <t>CP-INT-08</t>
        </is>
      </c>
      <c r="B39" s="28" t="inlineStr">
        <is>
          <t>Integración / Backend</t>
        </is>
      </c>
      <c r="C39" s="29" t="inlineStr">
        <is>
          <t>ALTA</t>
        </is>
      </c>
      <c r="D39" s="28" t="inlineStr">
        <is>
          <t>API / Integración</t>
        </is>
      </c>
      <c r="E39" s="29" t="inlineStr">
        <is>
          <t>APROBADO</t>
        </is>
      </c>
      <c r="F39" s="28" t="inlineStr">
        <is>
          <t>Arranque conjunto npm run dev:all</t>
        </is>
      </c>
      <c r="G39" s="28" t="inlineStr">
        <is>
          <t>Dependencias instaladas en frontend y backend.</t>
        </is>
      </c>
      <c r="H39" s="28" t="inlineStr">
        <is>
          <t>1. Detener backend y frontend.
2. Ejecutar npm run dev:all.
3. Abrir la app y consultar tickets.</t>
        </is>
      </c>
      <c r="I39" s="28" t="inlineStr">
        <is>
          <t>Backend en :5000 y Vite en :5173; no aparece el error 502.</t>
        </is>
      </c>
      <c r="J39" s="28" t="inlineStr">
        <is>
          <t>Verificado; ambos procesos levantan y la app responde.</t>
        </is>
      </c>
      <c r="K39" s="28" t="inlineStr"/>
      <c r="L39" s="29" t="inlineStr"/>
    </row>
    <row r="40" ht="56" customHeight="1">
      <c r="A40" s="26" t="inlineStr">
        <is>
          <t>CP-INT-09</t>
        </is>
      </c>
      <c r="B40" s="25" t="inlineStr">
        <is>
          <t>Integración / Backend</t>
        </is>
      </c>
      <c r="C40" s="26" t="inlineStr">
        <is>
          <t>MEDIA</t>
        </is>
      </c>
      <c r="D40" s="25" t="inlineStr">
        <is>
          <t>API / Integración</t>
        </is>
      </c>
      <c r="E40" s="26" t="inlineStr">
        <is>
          <t>PARCIAL</t>
        </is>
      </c>
      <c r="F40" s="25" t="inlineStr">
        <is>
          <t>Actualización sin caché vieja (service worker)</t>
        </is>
      </c>
      <c r="G40" s="25" t="inlineStr">
        <is>
          <t>Build de producción o entorno local con SW previo.</t>
        </is>
      </c>
      <c r="H40" s="25" t="inlineStr">
        <is>
          <t>1. Publicar una nueva versión.
2. Recargar la app.
3. Verificar que se carga el JS nuevo.
4. Revisar cachés.</t>
        </is>
      </c>
      <c r="I40" s="25" t="inlineStr">
        <is>
          <t>El service worker usa divise-v2, elimina cachés viejas y sirve el HTML con estrategia network-first.</t>
        </is>
      </c>
      <c r="J40" s="25" t="inlineStr">
        <is>
          <t>Verificado en local: se limpiaron SW/caché y se cargó la versión nueva. Pendiente de validación en producción.</t>
        </is>
      </c>
      <c r="K40" s="25" t="inlineStr"/>
      <c r="L40" s="26" t="inlineStr"/>
    </row>
    <row r="41" ht="30" customHeight="1">
      <c r="A41" s="29" t="inlineStr">
        <is>
          <t>CP-SEG-01</t>
        </is>
      </c>
      <c r="B41" s="28" t="inlineStr">
        <is>
          <t>Seguridad</t>
        </is>
      </c>
      <c r="C41" s="29" t="inlineStr">
        <is>
          <t>ALTA</t>
        </is>
      </c>
      <c r="D41" s="28" t="inlineStr">
        <is>
          <t>Seguridad</t>
        </is>
      </c>
      <c r="E41" s="29" t="inlineStr">
        <is>
          <t>APROBADO</t>
        </is>
      </c>
      <c r="F41" s="28" t="inlineStr">
        <is>
          <t>Acceso denegado a APIs de administración</t>
        </is>
      </c>
      <c r="G41" s="28" t="inlineStr">
        <is>
          <t>Token de usuario estándar.</t>
        </is>
      </c>
      <c r="H41" s="28" t="inlineStr">
        <is>
          <t>1. Invocar GET /api/admin/tickets.
2. Invocar PUT/DELETE sobre un ticket.</t>
        </is>
      </c>
      <c r="I41" s="28" t="inlineStr">
        <is>
          <t>Las operaciones de administración responden 403 y no modifican datos.</t>
        </is>
      </c>
      <c r="J41" s="28" t="inlineStr">
        <is>
          <t>Verificado para GET; el middleware de admin protege el resto de rutas.</t>
        </is>
      </c>
      <c r="K41" s="28" t="inlineStr"/>
      <c r="L41" s="29" t="inlineStr"/>
    </row>
    <row r="42" ht="30" customHeight="1">
      <c r="A42" s="26" t="inlineStr">
        <is>
          <t>CP-SEG-02</t>
        </is>
      </c>
      <c r="B42" s="25" t="inlineStr">
        <is>
          <t>Seguridad</t>
        </is>
      </c>
      <c r="C42" s="26" t="inlineStr">
        <is>
          <t>ALTA</t>
        </is>
      </c>
      <c r="D42" s="25" t="inlineStr">
        <is>
          <t>Seguridad</t>
        </is>
      </c>
      <c r="E42" s="26" t="inlineStr">
        <is>
          <t>APROBADO</t>
        </is>
      </c>
      <c r="F42" s="25" t="inlineStr">
        <is>
          <t>Aislamiento de tickets por usuario</t>
        </is>
      </c>
      <c r="G42" s="25" t="inlineStr">
        <is>
          <t>Tickets de dos usuarios distintos.</t>
        </is>
      </c>
      <c r="H42" s="25" t="inlineStr">
        <is>
          <t>1. Consultar “Mis tickets” con cada usuario.
2. Comparar resultados.</t>
        </is>
      </c>
      <c r="I42" s="25" t="inlineStr">
        <is>
          <t>Cada usuario ve solo sus tickets; el administrador ve todos.</t>
        </is>
      </c>
      <c r="J42" s="25" t="inlineStr">
        <is>
          <t>Verificado mediante filtro por id_usuario y email; no se exponen tickets ajenos.</t>
        </is>
      </c>
      <c r="K42" s="25" t="inlineStr"/>
      <c r="L42" s="26" t="inlineStr"/>
    </row>
    <row r="43" ht="43" customHeight="1">
      <c r="A43" s="29" t="inlineStr">
        <is>
          <t>CP-SEG-03</t>
        </is>
      </c>
      <c r="B43" s="28" t="inlineStr">
        <is>
          <t>Seguridad</t>
        </is>
      </c>
      <c r="C43" s="29" t="inlineStr">
        <is>
          <t>MEDIA</t>
        </is>
      </c>
      <c r="D43" s="28" t="inlineStr">
        <is>
          <t>Seguridad</t>
        </is>
      </c>
      <c r="E43" s="29" t="inlineStr">
        <is>
          <t>APROBADO</t>
        </is>
      </c>
      <c r="F43" s="28" t="inlineStr">
        <is>
          <t>Sanitización de mensajes y correos</t>
        </is>
      </c>
      <c r="G43" s="28" t="inlineStr">
        <is>
          <t>Formulario de ticket.</t>
        </is>
      </c>
      <c r="H43" s="28" t="inlineStr">
        <is>
          <t>1. Enviar &lt;script&gt;alert(1)&lt;/script&gt; en asunto y mensaje.
2. Revisar la UI y el correo.</t>
        </is>
      </c>
      <c r="I43" s="28" t="inlineStr">
        <is>
          <t>El texto se muestra como contenido, sin ejecutar scripts; el correo escapa HTML.</t>
        </is>
      </c>
      <c r="J43" s="28" t="inlineStr">
        <is>
          <t>Revisión de código: React escapa el texto y el email usa escapeHtml.</t>
        </is>
      </c>
      <c r="K43" s="28" t="inlineStr"/>
      <c r="L43" s="29" t="inlineStr"/>
    </row>
    <row r="44" ht="43" customHeight="1">
      <c r="A44" s="26" t="inlineStr">
        <is>
          <t>CP-SEG-04</t>
        </is>
      </c>
      <c r="B44" s="25" t="inlineStr">
        <is>
          <t>Seguridad</t>
        </is>
      </c>
      <c r="C44" s="26" t="inlineStr">
        <is>
          <t>MEDIA</t>
        </is>
      </c>
      <c r="D44" s="25" t="inlineStr">
        <is>
          <t>Seguridad</t>
        </is>
      </c>
      <c r="E44" s="26" t="inlineStr">
        <is>
          <t>APROBADO</t>
        </is>
      </c>
      <c r="F44" s="25" t="inlineStr">
        <is>
          <t>Sesión expirada</t>
        </is>
      </c>
      <c r="G44" s="25" t="inlineStr">
        <is>
          <t>Token JWT vencido.</t>
        </is>
      </c>
      <c r="H44" s="25" t="inlineStr">
        <is>
          <t>1. Usar un token expirado.
2. Abrir el dashboard o consultar tickets.</t>
        </is>
      </c>
      <c r="I44" s="25" t="inlineStr">
        <is>
          <t>La API responde 401 con tokenExpired; el frontend limpia la sesión y redirige al login.</t>
        </is>
      </c>
      <c r="J44" s="25" t="inlineStr">
        <is>
          <t>Regresión del manejo existente de JWT; se mantiene el comportamiento.</t>
        </is>
      </c>
      <c r="K44" s="25" t="inlineStr"/>
      <c r="L44" s="26" t="inlineStr"/>
    </row>
  </sheetData>
  <autoFilter ref="A3:L44"/>
  <mergeCells count="2">
    <mergeCell ref="A2:L2"/>
    <mergeCell ref="A1:L1"/>
  </mergeCells>
  <conditionalFormatting sqref="E4:E44">
    <cfRule type="cellIs" priority="1" operator="equal" dxfId="0">
      <formula>"APROBADO"</formula>
    </cfRule>
    <cfRule type="cellIs" priority="2" operator="equal" dxfId="1">
      <formula>"PENDIENTE"</formula>
    </cfRule>
    <cfRule type="cellIs" priority="3" operator="equal" dxfId="2">
      <formula>"PARCIAL"</formula>
    </cfRule>
    <cfRule type="cellIs" priority="4" operator="equal" dxfId="3">
      <formula>"FALLO"</formula>
    </cfRule>
    <cfRule type="cellIs" priority="5" operator="equal" dxfId="4">
      <formula>"N/A"</formula>
    </cfRule>
  </conditionalFormatting>
  <conditionalFormatting sqref="C4:C44">
    <cfRule type="cellIs" priority="6" operator="equal" dxfId="5">
      <formula>"ALTA"</formula>
    </cfRule>
    <cfRule type="cellIs" priority="7" operator="equal" dxfId="6">
      <formula>"MEDIA"</formula>
    </cfRule>
    <cfRule type="cellIs" priority="8" operator="equal" dxfId="7">
      <formula>"BAJA"</formula>
    </cfRule>
  </conditionalFormatting>
  <dataValidations count="2">
    <dataValidation sqref="E4:E44" showDropDown="0" showInputMessage="0" showErrorMessage="0" allowBlank="1" type="list">
      <formula1>"APROBADO,PENDIENTE,PARCIAL,FALLO,N/A"</formula1>
    </dataValidation>
    <dataValidation sqref="C4:C44" showDropDown="0" showInputMessage="0" showErrorMessage="0" allowBlank="1" type="list">
      <formula1>"ALTA,MEDIA,BAJA"</formula1>
    </dataValidation>
  </dataValidation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 fitToPage="1"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30" customWidth="1" min="5" max="5"/>
    <col width="45" customWidth="1" min="6" max="6"/>
    <col width="38" customWidth="1" min="7" max="7"/>
    <col width="40" customWidth="1" min="8" max="8"/>
    <col width="18" customWidth="1" min="9" max="9"/>
    <col width="14" customWidth="1" min="10" max="10"/>
    <col width="30" customWidth="1" min="11" max="11"/>
  </cols>
  <sheetData>
    <row r="1" ht="30" customHeight="1">
      <c r="A1" s="20" t="inlineStr">
        <is>
          <t>Checklist de Administración — Tickets de Soporte</t>
        </is>
      </c>
    </row>
    <row r="2" ht="18" customHeight="1">
      <c r="A2" s="21" t="inlineStr">
        <is>
          <t>16 casos específicos del sector admin · Completar Responsable, Fecha y Observaciones durante la ejecución</t>
        </is>
      </c>
    </row>
    <row r="3" ht="30" customHeight="1">
      <c r="A3" s="24" t="inlineStr">
        <is>
          <t>ID</t>
        </is>
      </c>
      <c r="B3" s="24" t="inlineStr">
        <is>
          <t>Prioridad</t>
        </is>
      </c>
      <c r="C3" s="24" t="inlineStr">
        <is>
          <t>Estado</t>
        </is>
      </c>
      <c r="D3" s="24" t="inlineStr">
        <is>
          <t>Título / Funcionalidad</t>
        </is>
      </c>
      <c r="E3" s="24" t="inlineStr">
        <is>
          <t>Precondiciones</t>
        </is>
      </c>
      <c r="F3" s="24" t="inlineStr">
        <is>
          <t>Pasos</t>
        </is>
      </c>
      <c r="G3" s="24" t="inlineStr">
        <is>
          <t>Resultado esperado</t>
        </is>
      </c>
      <c r="H3" s="24" t="inlineStr">
        <is>
          <t>Resultado obtenido</t>
        </is>
      </c>
      <c r="I3" s="24" t="inlineStr">
        <is>
          <t>Responsable</t>
        </is>
      </c>
      <c r="J3" s="24" t="inlineStr">
        <is>
          <t>Fecha</t>
        </is>
      </c>
      <c r="K3" s="24" t="inlineStr">
        <is>
          <t>Observaciones</t>
        </is>
      </c>
    </row>
    <row r="4" ht="43" customHeight="1">
      <c r="A4" s="26" t="inlineStr">
        <is>
          <t>CP-ADM-01</t>
        </is>
      </c>
      <c r="B4" s="26" t="inlineStr">
        <is>
          <t>ALTA</t>
        </is>
      </c>
      <c r="C4" s="26" t="inlineStr">
        <is>
          <t>APROBADO</t>
        </is>
      </c>
      <c r="D4" s="25" t="inlineStr">
        <is>
          <t>Acceso al Panel de Administración</t>
        </is>
      </c>
      <c r="E4" s="25" t="inlineStr">
        <is>
          <t>Cuenta con rol admin o es_admin.</t>
        </is>
      </c>
      <c r="F4" s="25" t="inlineStr">
        <is>
          <t>1. Iniciar sesión como administrador.
2. Verificar el enlace “Admin” en el menú.
3. Abrir /dashboard/admin.</t>
        </is>
      </c>
      <c r="G4" s="25" t="inlineStr">
        <is>
          <t>El enlace “Admin” es visible y el panel carga KPIs, pestañas y datos del sistema.</t>
        </is>
      </c>
      <c r="H4" s="25" t="inlineStr">
        <is>
          <t>Verificado con deviseproyect@gmail.com; panel y KPIs cargados.</t>
        </is>
      </c>
      <c r="I4" s="25" t="inlineStr"/>
      <c r="J4" s="26" t="inlineStr"/>
      <c r="K4" s="25" t="inlineStr"/>
    </row>
    <row r="5" ht="56" customHeight="1">
      <c r="A5" s="29" t="inlineStr">
        <is>
          <t>CP-ADM-02</t>
        </is>
      </c>
      <c r="B5" s="29" t="inlineStr">
        <is>
          <t>ALTA</t>
        </is>
      </c>
      <c r="C5" s="29" t="inlineStr">
        <is>
          <t>APROBADO</t>
        </is>
      </c>
      <c r="D5" s="28" t="inlineStr">
        <is>
          <t>Usuario no administrador sin acceso</t>
        </is>
      </c>
      <c r="E5" s="28" t="inlineStr">
        <is>
          <t>Cuenta estándar.</t>
        </is>
      </c>
      <c r="F5" s="28" t="inlineStr">
        <is>
          <t>1. Iniciar sesión como usuario.
2. Revisar el menú.
3. Intentar abrir /dashboard/admin.
4. Consultar una API de admin.</t>
        </is>
      </c>
      <c r="G5" s="28" t="inlineStr">
        <is>
          <t>No se muestra el enlace “Admin” ni la pestaña “Bandeja”; las APIs de administración responden 403.</t>
        </is>
      </c>
      <c r="H5" s="28" t="inlineStr">
        <is>
          <t>Verificado: sin enlace Admin, sin Bandeja y GET /api/admin/tickets respondió 403.</t>
        </is>
      </c>
      <c r="I5" s="28" t="inlineStr"/>
      <c r="J5" s="29" t="inlineStr"/>
      <c r="K5" s="28" t="inlineStr"/>
    </row>
    <row r="6" ht="43" customHeight="1">
      <c r="A6" s="26" t="inlineStr">
        <is>
          <t>CP-ADM-03</t>
        </is>
      </c>
      <c r="B6" s="26" t="inlineStr">
        <is>
          <t>ALTA</t>
        </is>
      </c>
      <c r="C6" s="26" t="inlineStr">
        <is>
          <t>APROBADO</t>
        </is>
      </c>
      <c r="D6" s="25" t="inlineStr">
        <is>
          <t>Pestaña “Tickets de Soporte”</t>
        </is>
      </c>
      <c r="E6" s="25" t="inlineStr">
        <is>
          <t>Sesión de administrador.</t>
        </is>
      </c>
      <c r="F6" s="25" t="inlineStr">
        <is>
          <t>1. Abrir el Panel de Administración.
2. Hacer clic en “Tickets de Soporte”.</t>
        </is>
      </c>
      <c r="G6" s="25" t="inlineStr">
        <is>
          <t>Se muestra el listado con código, estado, prioridad, usuario, asunto, mensaje y acciones.</t>
        </is>
      </c>
      <c r="H6" s="25" t="inlineStr">
        <is>
          <t>Verificado; tarjetas con todos los datos y botones de gestión.</t>
        </is>
      </c>
      <c r="I6" s="25" t="inlineStr"/>
      <c r="J6" s="26" t="inlineStr"/>
      <c r="K6" s="25" t="inlineStr"/>
    </row>
    <row r="7" ht="43" customHeight="1">
      <c r="A7" s="29" t="inlineStr">
        <is>
          <t>CP-ADM-04</t>
        </is>
      </c>
      <c r="B7" s="29" t="inlineStr">
        <is>
          <t>MEDIA</t>
        </is>
      </c>
      <c r="C7" s="29" t="inlineStr">
        <is>
          <t>APROBADO</t>
        </is>
      </c>
      <c r="D7" s="28" t="inlineStr">
        <is>
          <t>KPI de tickets y contador de abiertos</t>
        </is>
      </c>
      <c r="E7" s="28" t="inlineStr">
        <is>
          <t>Panel con tickets cargados.</t>
        </is>
      </c>
      <c r="F7" s="28" t="inlineStr">
        <is>
          <t>1. Observar la tarjeta “Tickets de Soporte”.
2. Comparar con el listado.
3. Resolver un ticket y refrescar.</t>
        </is>
      </c>
      <c r="G7" s="28" t="inlineStr">
        <is>
          <t>El KPI muestra el total y el badge de abiertos; se actualiza al cambiar estados.</t>
        </is>
      </c>
      <c r="H7" s="28" t="inlineStr">
        <is>
          <t>Verificado; badge “1 abiertos” y actualización tras resolver.</t>
        </is>
      </c>
      <c r="I7" s="28" t="inlineStr"/>
      <c r="J7" s="29" t="inlineStr"/>
      <c r="K7" s="28" t="inlineStr"/>
    </row>
    <row r="8" ht="43" customHeight="1">
      <c r="A8" s="26" t="inlineStr">
        <is>
          <t>CP-ADM-05</t>
        </is>
      </c>
      <c r="B8" s="26" t="inlineStr">
        <is>
          <t>ALTA</t>
        </is>
      </c>
      <c r="C8" s="26" t="inlineStr">
        <is>
          <t>APROBADO</t>
        </is>
      </c>
      <c r="D8" s="25" t="inlineStr">
        <is>
          <t>Bandeja del administrador en el widget</t>
        </is>
      </c>
      <c r="E8" s="25" t="inlineStr">
        <is>
          <t>Sesión de administrador.</t>
        </is>
      </c>
      <c r="F8" s="25" t="inlineStr">
        <is>
          <t>1. Abrir el icono “Soporte”.
2. Ir a la pestaña “Bandeja”.</t>
        </is>
      </c>
      <c r="G8" s="25" t="inlineStr">
        <is>
          <t>Se muestran todos los tickets de todos los usuarios, no solo los del administrador.</t>
        </is>
      </c>
      <c r="H8" s="25" t="inlineStr">
        <is>
          <t>Verificado; la bandeja mostró el ticket de “Usuario Demo”.</t>
        </is>
      </c>
      <c r="I8" s="25" t="inlineStr"/>
      <c r="J8" s="26" t="inlineStr"/>
      <c r="K8" s="25" t="inlineStr"/>
    </row>
    <row r="9" ht="30" customHeight="1">
      <c r="A9" s="29" t="inlineStr">
        <is>
          <t>CP-ADM-06</t>
        </is>
      </c>
      <c r="B9" s="29" t="inlineStr">
        <is>
          <t>MEDIA</t>
        </is>
      </c>
      <c r="C9" s="29" t="inlineStr">
        <is>
          <t>APROBADO</t>
        </is>
      </c>
      <c r="D9" s="28" t="inlineStr">
        <is>
          <t>Marcado de ticket como leído</t>
        </is>
      </c>
      <c r="E9" s="28" t="inlineStr">
        <is>
          <t>Ticket sin leer.</t>
        </is>
      </c>
      <c r="F9" s="28" t="inlineStr">
        <is>
          <t>1. Abrir el detalle o iniciar una respuesta.
2. Volver al listado.</t>
        </is>
      </c>
      <c r="G9" s="28" t="inlineStr">
        <is>
          <t>El ticket deja de mostrar “Nuevo”; el contador de no leídos disminuye.</t>
        </is>
      </c>
      <c r="H9" s="28" t="inlineStr">
        <is>
          <t>Verificado; unread pasó a 0 tras abrir/responder.</t>
        </is>
      </c>
      <c r="I9" s="28" t="inlineStr"/>
      <c r="J9" s="29" t="inlineStr"/>
      <c r="K9" s="28" t="inlineStr"/>
    </row>
    <row r="10" ht="30" customHeight="1">
      <c r="A10" s="26" t="inlineStr">
        <is>
          <t>CP-ADM-07</t>
        </is>
      </c>
      <c r="B10" s="26" t="inlineStr">
        <is>
          <t>ALTA</t>
        </is>
      </c>
      <c r="C10" s="26" t="inlineStr">
        <is>
          <t>APROBADO</t>
        </is>
      </c>
      <c r="D10" s="25" t="inlineStr">
        <is>
          <t>Tomar ticket</t>
        </is>
      </c>
      <c r="E10" s="25" t="inlineStr">
        <is>
          <t>Ticket en estado Abierto.</t>
        </is>
      </c>
      <c r="F10" s="25" t="inlineStr">
        <is>
          <t>1. Hacer clic en “Tomar” o “Tomar ticket”.</t>
        </is>
      </c>
      <c r="G10" s="25" t="inlineStr">
        <is>
          <t>El estado cambia a “En proceso” y se mantiene al refrescar.</t>
        </is>
      </c>
      <c r="H10" s="25" t="inlineStr">
        <is>
          <t>Verificado por UI y API (PUT con estado en_proceso).</t>
        </is>
      </c>
      <c r="I10" s="25" t="inlineStr"/>
      <c r="J10" s="26" t="inlineStr"/>
      <c r="K10" s="25" t="inlineStr"/>
    </row>
    <row r="11" ht="43" customHeight="1">
      <c r="A11" s="29" t="inlineStr">
        <is>
          <t>CP-ADM-08</t>
        </is>
      </c>
      <c r="B11" s="29" t="inlineStr">
        <is>
          <t>ALTA</t>
        </is>
      </c>
      <c r="C11" s="29" t="inlineStr">
        <is>
          <t>APROBADO</t>
        </is>
      </c>
      <c r="D11" s="28" t="inlineStr">
        <is>
          <t>Resolver ticket</t>
        </is>
      </c>
      <c r="E11" s="28" t="inlineStr">
        <is>
          <t>Ticket en estado Abierto o En proceso.</t>
        </is>
      </c>
      <c r="F11" s="28" t="inlineStr">
        <is>
          <t>1. Hacer clic en “Resolver”.</t>
        </is>
      </c>
      <c r="G11" s="28" t="inlineStr">
        <is>
          <t>El estado cambia a “Resuelto”; las acciones se actualizan y se registra la fecha de resolución.</t>
        </is>
      </c>
      <c r="H11" s="28" t="inlineStr">
        <is>
          <t>Verificado; estado “Resuelto” y acciones “Reabrir”.</t>
        </is>
      </c>
      <c r="I11" s="28" t="inlineStr"/>
      <c r="J11" s="29" t="inlineStr"/>
      <c r="K11" s="28" t="inlineStr"/>
    </row>
    <row r="12" ht="30" customHeight="1">
      <c r="A12" s="26" t="inlineStr">
        <is>
          <t>CP-ADM-09</t>
        </is>
      </c>
      <c r="B12" s="26" t="inlineStr">
        <is>
          <t>MEDIA</t>
        </is>
      </c>
      <c r="C12" s="26" t="inlineStr">
        <is>
          <t>PENDIENTE</t>
        </is>
      </c>
      <c r="D12" s="25" t="inlineStr">
        <is>
          <t>Reabrir ticket</t>
        </is>
      </c>
      <c r="E12" s="25" t="inlineStr">
        <is>
          <t>Ticket en estado Resuelto.</t>
        </is>
      </c>
      <c r="F12" s="25" t="inlineStr">
        <is>
          <t>1. Hacer clic en “Reabrir”.</t>
        </is>
      </c>
      <c r="G12" s="25" t="inlineStr">
        <is>
          <t>El estado vuelve a “Abierto” y el ticket puede atenderse nuevamente.</t>
        </is>
      </c>
      <c r="H12" s="25" t="inlineStr">
        <is>
          <t>No ejecutado en esta ronda; misma API que “Tomar”/“Resolver”.</t>
        </is>
      </c>
      <c r="I12" s="25" t="inlineStr"/>
      <c r="J12" s="26" t="inlineStr"/>
      <c r="K12" s="25" t="inlineStr"/>
    </row>
    <row r="13" ht="43" customHeight="1">
      <c r="A13" s="29" t="inlineStr">
        <is>
          <t>CP-ADM-10</t>
        </is>
      </c>
      <c r="B13" s="29" t="inlineStr">
        <is>
          <t>ALTA</t>
        </is>
      </c>
      <c r="C13" s="29" t="inlineStr">
        <is>
          <t>APROBADO</t>
        </is>
      </c>
      <c r="D13" s="28" t="inlineStr">
        <is>
          <t>Responder desde la bandeja del widget</t>
        </is>
      </c>
      <c r="E13" s="28" t="inlineStr">
        <is>
          <t>Ticket abierto en la bandeja.</t>
        </is>
      </c>
      <c r="F13" s="28" t="inlineStr">
        <is>
          <t>1. Hacer clic en “Responder”.
2. Escribir la respuesta.
3. Guardar.</t>
        </is>
      </c>
      <c r="G13" s="28" t="inlineStr">
        <is>
          <t>La respuesta se guarda, el estado pasa a “En proceso” y el usuario la ve en “Mis tickets”.</t>
        </is>
      </c>
      <c r="H13" s="28" t="inlineStr">
        <is>
          <t>Verificado; respuesta visible en el ticket y en la vista del usuario.</t>
        </is>
      </c>
      <c r="I13" s="28" t="inlineStr"/>
      <c r="J13" s="29" t="inlineStr"/>
      <c r="K13" s="28" t="inlineStr"/>
    </row>
    <row r="14" ht="43" customHeight="1">
      <c r="A14" s="26" t="inlineStr">
        <is>
          <t>CP-ADM-11</t>
        </is>
      </c>
      <c r="B14" s="26" t="inlineStr">
        <is>
          <t>ALTA</t>
        </is>
      </c>
      <c r="C14" s="26" t="inlineStr">
        <is>
          <t>APROBADO</t>
        </is>
      </c>
      <c r="D14" s="25" t="inlineStr">
        <is>
          <t>Responder desde el panel admin (modal)</t>
        </is>
      </c>
      <c r="E14" s="25" t="inlineStr">
        <is>
          <t>Ticket visible en la pestaña de tickets.</t>
        </is>
      </c>
      <c r="F14" s="25" t="inlineStr">
        <is>
          <t>1. Hacer clic en “Ver detalle”.
2. Escribir la respuesta.
3. Guardar respuesta.</t>
        </is>
      </c>
      <c r="G14" s="25" t="inlineStr">
        <is>
          <t>La respuesta se guarda, el ticket se marca como leído y cambia a “En proceso”.</t>
        </is>
      </c>
      <c r="H14" s="25" t="inlineStr">
        <is>
          <t>Verificado; modal, guardado y actualización de estado.</t>
        </is>
      </c>
      <c r="I14" s="25" t="inlineStr"/>
      <c r="J14" s="26" t="inlineStr"/>
      <c r="K14" s="25" t="inlineStr"/>
    </row>
    <row r="15" ht="43" customHeight="1">
      <c r="A15" s="29" t="inlineStr">
        <is>
          <t>CP-ADM-12</t>
        </is>
      </c>
      <c r="B15" s="29" t="inlineStr">
        <is>
          <t>BAJA</t>
        </is>
      </c>
      <c r="C15" s="29" t="inlineStr">
        <is>
          <t>PENDIENTE</t>
        </is>
      </c>
      <c r="D15" s="28" t="inlineStr">
        <is>
          <t>Responder por correo</t>
        </is>
      </c>
      <c r="E15" s="28" t="inlineStr">
        <is>
          <t>Cliente de correo configurado.</t>
        </is>
      </c>
      <c r="F15" s="28" t="inlineStr">
        <is>
          <t>1. Hacer clic en “Responder por correo” o “Enviar por correo”.</t>
        </is>
      </c>
      <c r="G15" s="28" t="inlineStr">
        <is>
          <t>Se abre el cliente de correo con asunto [código] y cuerpo con el ticket y la respuesta.</t>
        </is>
      </c>
      <c r="H15" s="28" t="inlineStr">
        <is>
          <t>Pendiente de validación con cliente de correo real.</t>
        </is>
      </c>
      <c r="I15" s="28" t="inlineStr"/>
      <c r="J15" s="29" t="inlineStr"/>
      <c r="K15" s="28" t="inlineStr"/>
    </row>
    <row r="16" ht="30" customHeight="1">
      <c r="A16" s="26" t="inlineStr">
        <is>
          <t>CP-ADM-13</t>
        </is>
      </c>
      <c r="B16" s="26" t="inlineStr">
        <is>
          <t>ALTA</t>
        </is>
      </c>
      <c r="C16" s="26" t="inlineStr">
        <is>
          <t>APROBADO</t>
        </is>
      </c>
      <c r="D16" s="25" t="inlineStr">
        <is>
          <t>Eliminar ticket</t>
        </is>
      </c>
      <c r="E16" s="25" t="inlineStr">
        <is>
          <t>Ticket existente.</t>
        </is>
      </c>
      <c r="F16" s="25" t="inlineStr">
        <is>
          <t>1. Hacer clic en “Eliminar”.
2. Confirmar la acción.</t>
        </is>
      </c>
      <c r="G16" s="25" t="inlineStr">
        <is>
          <t>El ticket desaparece, se muestra un toast y no reaparece al refrescar.</t>
        </is>
      </c>
      <c r="H16" s="25" t="inlineStr">
        <is>
          <t>Verificado por UI y API; el listado quedó con un ticket menos.</t>
        </is>
      </c>
      <c r="I16" s="25" t="inlineStr"/>
      <c r="J16" s="26" t="inlineStr"/>
      <c r="K16" s="25" t="inlineStr"/>
    </row>
    <row r="17" ht="43" customHeight="1">
      <c r="A17" s="29" t="inlineStr">
        <is>
          <t>CP-ADM-14</t>
        </is>
      </c>
      <c r="B17" s="29" t="inlineStr">
        <is>
          <t>MEDIA</t>
        </is>
      </c>
      <c r="C17" s="29" t="inlineStr">
        <is>
          <t>APROBADO</t>
        </is>
      </c>
      <c r="D17" s="28" t="inlineStr">
        <is>
          <t>Filtros y búsqueda de tickets</t>
        </is>
      </c>
      <c r="E17" s="28" t="inlineStr">
        <is>
          <t>Varios tickets con distinto estado y texto.</t>
        </is>
      </c>
      <c r="F17" s="28" t="inlineStr">
        <is>
          <t>1. Buscar por código, asunto o email.
2. Usar filtros “Todos”, “Abiertos” y “Resueltos”.</t>
        </is>
      </c>
      <c r="G17" s="28" t="inlineStr">
        <is>
          <t>El listado se filtra correctamente sin recargar la página.</t>
        </is>
      </c>
      <c r="H17" s="28" t="inlineStr">
        <is>
          <t>Verificado: búsqueda “Bitcoin” mostró 1 de 2 tickets; filtro “Abiertos” mostró 2.</t>
        </is>
      </c>
      <c r="I17" s="28" t="inlineStr"/>
      <c r="J17" s="29" t="inlineStr"/>
      <c r="K17" s="28" t="inlineStr"/>
    </row>
    <row r="18" ht="56" customHeight="1">
      <c r="A18" s="26" t="inlineStr">
        <is>
          <t>CP-ADM-15</t>
        </is>
      </c>
      <c r="B18" s="26" t="inlineStr">
        <is>
          <t>MEDIA</t>
        </is>
      </c>
      <c r="C18" s="26" t="inlineStr">
        <is>
          <t>PENDIENTE</t>
        </is>
      </c>
      <c r="D18" s="25" t="inlineStr">
        <is>
          <t>Responsive del Panel de Administración</t>
        </is>
      </c>
      <c r="E18" s="25" t="inlineStr">
        <is>
          <t>Navegador en 360×640, 390×844 y 768×1024.</t>
        </is>
      </c>
      <c r="F18" s="25" t="inlineStr">
        <is>
          <t>1. Abrir el panel.
2. Recorrer pestañas, tarjetas y modal.
3. Probar filtros y acciones.</t>
        </is>
      </c>
      <c r="G18" s="25" t="inlineStr">
        <is>
          <t>Las pestañas se desplazan horizontalmente, las tarjetas se apilan, los botones son accesibles y el modal tiene scroll.</t>
        </is>
      </c>
      <c r="H18" s="25" t="inlineStr">
        <is>
          <t>Revisión de CSS realizada; pendiente validación en dispositivo físico.</t>
        </is>
      </c>
      <c r="I18" s="25" t="inlineStr"/>
      <c r="J18" s="26" t="inlineStr"/>
      <c r="K18" s="25" t="inlineStr"/>
    </row>
    <row r="19" ht="43" customHeight="1">
      <c r="A19" s="29" t="inlineStr">
        <is>
          <t>CP-ADM-16</t>
        </is>
      </c>
      <c r="B19" s="29" t="inlineStr">
        <is>
          <t>ALTA</t>
        </is>
      </c>
      <c r="C19" s="29" t="inlineStr">
        <is>
          <t>APROBADO</t>
        </is>
      </c>
      <c r="D19" s="28" t="inlineStr">
        <is>
          <t>Persistencia de estado y respuesta</t>
        </is>
      </c>
      <c r="E19" s="28" t="inlineStr">
        <is>
          <t>Ticket con estado/respuesta modificados.</t>
        </is>
      </c>
      <c r="F19" s="28" t="inlineStr">
        <is>
          <t>1. Cambiar estado y guardar respuesta.
2. Recargar el panel.
3. Abrir el mismo ticket.</t>
        </is>
      </c>
      <c r="G19" s="28" t="inlineStr">
        <is>
          <t>El estado, la respuesta y la marca de leído se mantienen.</t>
        </is>
      </c>
      <c r="H19" s="28" t="inlineStr">
        <is>
          <t>Verificado tras recargar la página y consultar nuevamente la bandeja.</t>
        </is>
      </c>
      <c r="I19" s="28" t="inlineStr"/>
      <c r="J19" s="29" t="inlineStr"/>
      <c r="K19" s="28" t="inlineStr"/>
    </row>
  </sheetData>
  <autoFilter ref="A3:K19"/>
  <mergeCells count="2">
    <mergeCell ref="A2:K2"/>
    <mergeCell ref="A1:K1"/>
  </mergeCells>
  <conditionalFormatting sqref="C4:C19">
    <cfRule type="cellIs" priority="1" operator="equal" dxfId="0">
      <formula>"APROBADO"</formula>
    </cfRule>
    <cfRule type="cellIs" priority="2" operator="equal" dxfId="1">
      <formula>"PENDIENTE"</formula>
    </cfRule>
    <cfRule type="cellIs" priority="3" operator="equal" dxfId="2">
      <formula>"PARCIAL"</formula>
    </cfRule>
    <cfRule type="cellIs" priority="4" operator="equal" dxfId="3">
      <formula>"FALLO"</formula>
    </cfRule>
    <cfRule type="cellIs" priority="5" operator="equal" dxfId="4">
      <formula>"N/A"</formula>
    </cfRule>
  </conditionalFormatting>
  <conditionalFormatting sqref="B4:B19">
    <cfRule type="cellIs" priority="6" operator="equal" dxfId="5">
      <formula>"ALTA"</formula>
    </cfRule>
    <cfRule type="cellIs" priority="7" operator="equal" dxfId="6">
      <formula>"MEDIA"</formula>
    </cfRule>
    <cfRule type="cellIs" priority="8" operator="equal" dxfId="7">
      <formula>"BAJA"</formula>
    </cfRule>
  </conditionalFormatting>
  <dataValidations count="2">
    <dataValidation sqref="C4:C19" showDropDown="0" showInputMessage="0" showErrorMessage="0" allowBlank="1" type="list">
      <formula1>"APROBADO,PENDIENTE,PARCIAL,FALLO,N/A"</formula1>
    </dataValidation>
    <dataValidation sqref="B4:B19" showDropDown="0" showInputMessage="0" showErrorMessage="0" allowBlank="1" type="list">
      <formula1>"ALTA,MEDIA,BAJA"</formula1>
    </dataValidation>
  </dataValidations>
  <pageMargins left="0.25" right="0.25" top="0.45" bottom="0.45" header="0.2" footer="0.2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20" t="inlineStr">
        <is>
          <t>Cobertura de Pruebas — Módulo de Soporte y Tickets</t>
        </is>
      </c>
    </row>
    <row r="2" ht="18" customHeight="1">
      <c r="A2" s="21" t="inlineStr">
        <is>
          <t>Distribución por módulo, prioridad y tipo de prueba · 41 casos</t>
        </is>
      </c>
    </row>
    <row r="3" ht="26" customHeight="1">
      <c r="A3" s="24" t="inlineStr">
        <is>
          <t>Módulo</t>
        </is>
      </c>
      <c r="B3" s="24" t="inlineStr">
        <is>
          <t>Casos</t>
        </is>
      </c>
      <c r="C3" s="24" t="inlineStr">
        <is>
          <t>Aprobados</t>
        </is>
      </c>
      <c r="D3" s="24" t="inlineStr">
        <is>
          <t>Pendientes</t>
        </is>
      </c>
      <c r="E3" s="24" t="inlineStr">
        <is>
          <t>Parciales</t>
        </is>
      </c>
      <c r="F3" s="24" t="inlineStr">
        <is>
          <t>Fallos</t>
        </is>
      </c>
      <c r="G3" s="24" t="inlineStr">
        <is>
          <t>% Cobertura</t>
        </is>
      </c>
    </row>
    <row r="4">
      <c r="A4" s="25" t="inlineStr">
        <is>
          <t>Soporte / Usuario</t>
        </is>
      </c>
      <c r="B4" s="26">
        <f>COUNTIF('CASOS DE PRUEBA'!$B$4:$B$44,$A4)</f>
        <v/>
      </c>
      <c r="C4" s="26">
        <f>COUNTIFS('CASOS DE PRUEBA'!$B$4:$B$44,$A4,'CASOS DE PRUEBA'!$E$4:$E$44,"APROBADO")</f>
        <v/>
      </c>
      <c r="D4" s="26">
        <f>COUNTIFS('CASOS DE PRUEBA'!$B$4:$B$44,$A4,'CASOS DE PRUEBA'!$E$4:$E$44,"PENDIENTE")</f>
        <v/>
      </c>
      <c r="E4" s="26">
        <f>COUNTIFS('CASOS DE PRUEBA'!$B$4:$B$44,$A4,'CASOS DE PRUEBA'!$E$4:$E$44,"PARCIAL")</f>
        <v/>
      </c>
      <c r="F4" s="26">
        <f>COUNTIFS('CASOS DE PRUEBA'!$B$4:$B$44,$A4,'CASOS DE PRUEBA'!$E$4:$E$44,"FALLO")</f>
        <v/>
      </c>
      <c r="G4" s="27">
        <f>IF(B4=0,0,C4/B4)</f>
        <v/>
      </c>
    </row>
    <row r="5">
      <c r="A5" s="28" t="inlineStr">
        <is>
          <t>Administración</t>
        </is>
      </c>
      <c r="B5" s="29">
        <f>COUNTIF('CASOS DE PRUEBA'!$B$4:$B$44,$A5)</f>
        <v/>
      </c>
      <c r="C5" s="29">
        <f>COUNTIFS('CASOS DE PRUEBA'!$B$4:$B$44,$A5,'CASOS DE PRUEBA'!$E$4:$E$44,"APROBADO")</f>
        <v/>
      </c>
      <c r="D5" s="29">
        <f>COUNTIFS('CASOS DE PRUEBA'!$B$4:$B$44,$A5,'CASOS DE PRUEBA'!$E$4:$E$44,"PENDIENTE")</f>
        <v/>
      </c>
      <c r="E5" s="29">
        <f>COUNTIFS('CASOS DE PRUEBA'!$B$4:$B$44,$A5,'CASOS DE PRUEBA'!$E$4:$E$44,"PARCIAL")</f>
        <v/>
      </c>
      <c r="F5" s="29">
        <f>COUNTIFS('CASOS DE PRUEBA'!$B$4:$B$44,$A5,'CASOS DE PRUEBA'!$E$4:$E$44,"FALLO")</f>
        <v/>
      </c>
      <c r="G5" s="30">
        <f>IF(B5=0,0,C5/B5)</f>
        <v/>
      </c>
    </row>
    <row r="6">
      <c r="A6" s="25" t="inlineStr">
        <is>
          <t>Integración / Backend</t>
        </is>
      </c>
      <c r="B6" s="26">
        <f>COUNTIF('CASOS DE PRUEBA'!$B$4:$B$44,$A6)</f>
        <v/>
      </c>
      <c r="C6" s="26">
        <f>COUNTIFS('CASOS DE PRUEBA'!$B$4:$B$44,$A6,'CASOS DE PRUEBA'!$E$4:$E$44,"APROBADO")</f>
        <v/>
      </c>
      <c r="D6" s="26">
        <f>COUNTIFS('CASOS DE PRUEBA'!$B$4:$B$44,$A6,'CASOS DE PRUEBA'!$E$4:$E$44,"PENDIENTE")</f>
        <v/>
      </c>
      <c r="E6" s="26">
        <f>COUNTIFS('CASOS DE PRUEBA'!$B$4:$B$44,$A6,'CASOS DE PRUEBA'!$E$4:$E$44,"PARCIAL")</f>
        <v/>
      </c>
      <c r="F6" s="26">
        <f>COUNTIFS('CASOS DE PRUEBA'!$B$4:$B$44,$A6,'CASOS DE PRUEBA'!$E$4:$E$44,"FALLO")</f>
        <v/>
      </c>
      <c r="G6" s="27">
        <f>IF(B6=0,0,C6/B6)</f>
        <v/>
      </c>
    </row>
    <row r="7">
      <c r="A7" s="28" t="inlineStr">
        <is>
          <t>Seguridad</t>
        </is>
      </c>
      <c r="B7" s="29">
        <f>COUNTIF('CASOS DE PRUEBA'!$B$4:$B$44,$A7)</f>
        <v/>
      </c>
      <c r="C7" s="29">
        <f>COUNTIFS('CASOS DE PRUEBA'!$B$4:$B$44,$A7,'CASOS DE PRUEBA'!$E$4:$E$44,"APROBADO")</f>
        <v/>
      </c>
      <c r="D7" s="29">
        <f>COUNTIFS('CASOS DE PRUEBA'!$B$4:$B$44,$A7,'CASOS DE PRUEBA'!$E$4:$E$44,"PENDIENTE")</f>
        <v/>
      </c>
      <c r="E7" s="29">
        <f>COUNTIFS('CASOS DE PRUEBA'!$B$4:$B$44,$A7,'CASOS DE PRUEBA'!$E$4:$E$44,"PARCIAL")</f>
        <v/>
      </c>
      <c r="F7" s="29">
        <f>COUNTIFS('CASOS DE PRUEBA'!$B$4:$B$44,$A7,'CASOS DE PRUEBA'!$E$4:$E$44,"FALLO")</f>
        <v/>
      </c>
      <c r="G7" s="30">
        <f>IF(B7=0,0,C7/B7)</f>
        <v/>
      </c>
    </row>
    <row r="10" ht="24" customHeight="1">
      <c r="A10" s="24" t="inlineStr">
        <is>
          <t>Prioridad</t>
        </is>
      </c>
      <c r="B10" s="24" t="inlineStr">
        <is>
          <t>Casos</t>
        </is>
      </c>
      <c r="C10" s="24" t="inlineStr">
        <is>
          <t>% del total</t>
        </is>
      </c>
    </row>
    <row r="11">
      <c r="A11" s="25" t="inlineStr">
        <is>
          <t>ALTA</t>
        </is>
      </c>
      <c r="B11" s="26">
        <f>COUNTIF('CASOS DE PRUEBA'!$C$4:$C$44,$A11)</f>
        <v/>
      </c>
      <c r="C11" s="27">
        <f>IF(COUNTA('CASOS DE PRUEBA'!$A$4:$A$44)=0,0,B11/COUNTA('CASOS DE PRUEBA'!$A$4:$A$44))</f>
        <v/>
      </c>
    </row>
    <row r="12">
      <c r="A12" s="28" t="inlineStr">
        <is>
          <t>MEDIA</t>
        </is>
      </c>
      <c r="B12" s="29">
        <f>COUNTIF('CASOS DE PRUEBA'!$C$4:$C$44,$A12)</f>
        <v/>
      </c>
      <c r="C12" s="30">
        <f>IF(COUNTA('CASOS DE PRUEBA'!$A$4:$A$44)=0,0,B12/COUNTA('CASOS DE PRUEBA'!$A$4:$A$44))</f>
        <v/>
      </c>
    </row>
    <row r="13">
      <c r="A13" s="25" t="inlineStr">
        <is>
          <t>BAJA</t>
        </is>
      </c>
      <c r="B13" s="26">
        <f>COUNTIF('CASOS DE PRUEBA'!$C$4:$C$44,$A13)</f>
        <v/>
      </c>
      <c r="C13" s="27">
        <f>IF(COUNTA('CASOS DE PRUEBA'!$A$4:$A$44)=0,0,B13/COUNTA('CASOS DE PRUEBA'!$A$4:$A$44))</f>
        <v/>
      </c>
    </row>
    <row r="16" ht="24" customHeight="1">
      <c r="A16" s="24" t="inlineStr">
        <is>
          <t>Tipo de prueba</t>
        </is>
      </c>
      <c r="B16" s="24" t="inlineStr">
        <is>
          <t>Casos</t>
        </is>
      </c>
      <c r="C16" s="24" t="inlineStr">
        <is>
          <t>% del total</t>
        </is>
      </c>
    </row>
    <row r="17">
      <c r="A17" s="25" t="inlineStr">
        <is>
          <t>Funcional</t>
        </is>
      </c>
      <c r="B17" s="26">
        <f>COUNTIF('CASOS DE PRUEBA'!$D$4:$D$44,$A17)</f>
        <v/>
      </c>
      <c r="C17" s="27">
        <f>IF(B17=0,0,B17/COUNTA('CASOS DE PRUEBA'!$A$4:$A$44))</f>
        <v/>
      </c>
    </row>
    <row r="18">
      <c r="A18" s="28" t="inlineStr">
        <is>
          <t>Funcional / Admin</t>
        </is>
      </c>
      <c r="B18" s="29">
        <f>COUNTIF('CASOS DE PRUEBA'!$D$4:$D$44,$A18)</f>
        <v/>
      </c>
      <c r="C18" s="30">
        <f>IF(B18=0,0,B18/COUNTA('CASOS DE PRUEBA'!$A$4:$A$44))</f>
        <v/>
      </c>
    </row>
    <row r="19">
      <c r="A19" s="25" t="inlineStr">
        <is>
          <t>UX / Responsive</t>
        </is>
      </c>
      <c r="B19" s="26">
        <f>COUNTIF('CASOS DE PRUEBA'!$D$4:$D$44,$A19)</f>
        <v/>
      </c>
      <c r="C19" s="27">
        <f>IF(B19=0,0,B19/COUNTA('CASOS DE PRUEBA'!$A$4:$A$44))</f>
        <v/>
      </c>
    </row>
    <row r="20">
      <c r="A20" s="28" t="inlineStr">
        <is>
          <t>API / Integración</t>
        </is>
      </c>
      <c r="B20" s="29">
        <f>COUNTIF('CASOS DE PRUEBA'!$D$4:$D$44,$A20)</f>
        <v/>
      </c>
      <c r="C20" s="30">
        <f>IF(B20=0,0,B20/COUNTA('CASOS DE PRUEBA'!$A$4:$A$44))</f>
        <v/>
      </c>
    </row>
    <row r="21">
      <c r="A21" s="25" t="inlineStr">
        <is>
          <t>Seguridad</t>
        </is>
      </c>
      <c r="B21" s="26">
        <f>COUNTIF('CASOS DE PRUEBA'!$D$4:$D$44,$A21)</f>
        <v/>
      </c>
      <c r="C21" s="27">
        <f>IF(B21=0,0,B21/COUNTA('CASOS DE PRUEBA'!$A$4:$A$44))</f>
        <v/>
      </c>
    </row>
  </sheetData>
  <mergeCells count="2">
    <mergeCell ref="A2:G2"/>
    <mergeCell ref="A1:G1"/>
  </mergeCells>
  <pageMargins left="0.25" right="0.25" top="0.45" bottom="0.45" header="0.2" footer="0.2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50" customWidth="1" min="4" max="4"/>
    <col width="58" customWidth="1" min="5" max="5"/>
    <col width="14" customWidth="1" min="6" max="6"/>
  </cols>
  <sheetData>
    <row r="1" ht="30" customHeight="1">
      <c r="A1" s="20" t="inlineStr">
        <is>
          <t>Defectos y Correcciones — Módulo de Soporte y Tickets</t>
        </is>
      </c>
    </row>
    <row r="2" ht="18" customHeight="1">
      <c r="A2" s="21" t="inlineStr">
        <is>
          <t>Registro de defectos detectados durante el ciclo y su corrección</t>
        </is>
      </c>
    </row>
    <row r="3" ht="30" customHeight="1">
      <c r="A3" s="24" t="inlineStr">
        <is>
          <t>ID</t>
        </is>
      </c>
      <c r="B3" s="24" t="inlineStr">
        <is>
          <t>Severidad</t>
        </is>
      </c>
      <c r="C3" s="24" t="inlineStr">
        <is>
          <t>Título</t>
        </is>
      </c>
      <c r="D3" s="24" t="inlineStr">
        <is>
          <t>Causa</t>
        </is>
      </c>
      <c r="E3" s="24" t="inlineStr">
        <is>
          <t>Corrección aplicada</t>
        </is>
      </c>
      <c r="F3" s="24" t="inlineStr">
        <is>
          <t>Estado</t>
        </is>
      </c>
    </row>
    <row r="4" ht="30" customHeight="1">
      <c r="A4" s="26" t="inlineStr">
        <is>
          <t>DEF-01</t>
        </is>
      </c>
      <c r="B4" s="26" t="inlineStr">
        <is>
          <t>Crítico</t>
        </is>
      </c>
      <c r="C4" s="25" t="inlineStr">
        <is>
          <t>Error 502: Bad Gateway al consultar tickets</t>
        </is>
      </c>
      <c r="D4" s="25" t="inlineStr">
        <is>
          <t>Vite estaba activo pero el backend no estaba levantado; el proxy devolvía error.</t>
        </is>
      </c>
      <c r="E4" s="25" t="inlineStr">
        <is>
          <t>Se agregó npm run dev:all, reintentos automáticos para 500/502/503/504 y mensaje amigable con botón “Reintentar”.</t>
        </is>
      </c>
      <c r="F4" s="26" t="inlineStr">
        <is>
          <t>CORREGIDO</t>
        </is>
      </c>
    </row>
    <row r="5" ht="43" customHeight="1">
      <c r="A5" s="29" t="inlineStr">
        <is>
          <t>DEF-02</t>
        </is>
      </c>
      <c r="B5" s="29" t="inlineStr">
        <is>
          <t>Alto</t>
        </is>
      </c>
      <c r="C5" s="28" t="inlineStr">
        <is>
          <t>La app seguía mostrando una versión vieja del frontend</t>
        </is>
      </c>
      <c r="D5" s="28" t="inlineStr">
        <is>
          <t>Service worker con caché divise-v1 y estrategia cache-first.</t>
        </is>
      </c>
      <c r="E5" s="28" t="inlineStr">
        <is>
          <t>Se desregistra el SW en desarrollo, se limpia la caché y en producción se usa divise-v2 con network-first para navegación.</t>
        </is>
      </c>
      <c r="F5" s="29" t="inlineStr">
        <is>
          <t>CORREGIDO</t>
        </is>
      </c>
    </row>
    <row r="6" ht="30" customHeight="1">
      <c r="A6" s="26" t="inlineStr">
        <is>
          <t>DEF-03</t>
        </is>
      </c>
      <c r="B6" s="26" t="inlineStr">
        <is>
          <t>Medio</t>
        </is>
      </c>
      <c r="C6" s="25" t="inlineStr">
        <is>
          <t>El panel admin tardaba en mostrar tickets si la base no respondía</t>
        </is>
      </c>
      <c r="D6" s="25" t="inlineStr">
        <is>
          <t>Promise.allSettled esperaba la consulta más lenta antes de actualizar la UI.</t>
        </is>
      </c>
      <c r="E6" s="25" t="inlineStr">
        <is>
          <t>Cada sección (tickets, mensajes, emails, usuarios, stats) carga de forma independiente.</t>
        </is>
      </c>
      <c r="F6" s="26" t="inlineStr">
        <is>
          <t>CORREGIDO</t>
        </is>
      </c>
    </row>
    <row r="7" ht="30" customHeight="1">
      <c r="A7" s="29" t="inlineStr">
        <is>
          <t>DEF-04</t>
        </is>
      </c>
      <c r="B7" s="29" t="inlineStr">
        <is>
          <t>Alto</t>
        </is>
      </c>
      <c r="C7" s="28" t="inlineStr">
        <is>
          <t>El administrador no podía atender tickets desde el icono de Soporte</t>
        </is>
      </c>
      <c r="D7" s="28" t="inlineStr">
        <is>
          <t>El widget solo mostraba “Mis tickets”, incluso para admin.</t>
        </is>
      </c>
      <c r="E7" s="28" t="inlineStr">
        <is>
          <t>Se agregó la pestaña “Bandeja” para administradores con acciones de atención y respuesta.</t>
        </is>
      </c>
      <c r="F7" s="29" t="inlineStr">
        <is>
          <t>CORREGIDO</t>
        </is>
      </c>
    </row>
    <row r="8" ht="43" customHeight="1">
      <c r="A8" s="26" t="inlineStr">
        <is>
          <t>DEF-05</t>
        </is>
      </c>
      <c r="B8" s="26" t="inlineStr">
        <is>
          <t>Medio</t>
        </is>
      </c>
      <c r="C8" s="25" t="inlineStr">
        <is>
          <t>Posible colisión de códigos de ticket al reiniciar el almacenamiento JSON</t>
        </is>
      </c>
      <c r="D8" s="25" t="inlineStr">
        <is>
          <t>El código se generaba con un consecutivo local.</t>
        </is>
      </c>
      <c r="E8" s="25" t="inlineStr">
        <is>
          <t>Se genera un código único con timestamp y sufijo aleatorio; además se combinan tickets de DB y JSON sin duplicados.</t>
        </is>
      </c>
      <c r="F8" s="26" t="inlineStr">
        <is>
          <t>CORREGIDO</t>
        </is>
      </c>
    </row>
    <row r="9" ht="30" customHeight="1">
      <c r="A9" s="29" t="inlineStr">
        <is>
          <t>DEF-06</t>
        </is>
      </c>
      <c r="B9" s="29" t="inlineStr">
        <is>
          <t>Medio</t>
        </is>
      </c>
      <c r="C9" s="28" t="inlineStr">
        <is>
          <t>Tickets del JSON podían quedar ocultos si la DB tenía datos</t>
        </is>
      </c>
      <c r="D9" s="28" t="inlineStr">
        <is>
          <t>El listado devolvía solo la fuente DB cuando tenía filas.</t>
        </is>
      </c>
      <c r="E9" s="28" t="inlineStr">
        <is>
          <t>Se combinan ambas fuentes por código para no perder tickets del respaldo.</t>
        </is>
      </c>
      <c r="F9" s="29" t="inlineStr">
        <is>
          <t>CORREGIDO</t>
        </is>
      </c>
    </row>
  </sheetData>
  <autoFilter ref="A3:F9"/>
  <mergeCells count="2">
    <mergeCell ref="A2:F2"/>
    <mergeCell ref="A1:F1"/>
  </mergeCells>
  <conditionalFormatting sqref="F4:F9">
    <cfRule type="cellIs" priority="1" operator="equal" dxfId="0">
      <formula>"CORREGIDO"</formula>
    </cfRule>
  </conditionalFormatting>
  <conditionalFormatting sqref="B4:B9">
    <cfRule type="cellIs" priority="2" operator="equal" dxfId="3">
      <formula>"Crítico"</formula>
    </cfRule>
    <cfRule type="cellIs" priority="3" operator="equal" dxfId="1">
      <formula>"Alto"</formula>
    </cfRule>
    <cfRule type="cellIs" priority="4" operator="equal" dxfId="2">
      <formula>"Medio"</formula>
    </cfRule>
  </conditionalFormatting>
  <pageMargins left="0.25" right="0.25" top="0.45" bottom="0.45" header="0.2" footer="0.2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6B46C1"/>
    <outlinePr summaryBelow="1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  <col width="12" customWidth="1" min="4" max="4"/>
  </cols>
  <sheetData>
    <row r="1" ht="30" customHeight="1">
      <c r="A1" s="20" t="inlineStr">
        <is>
          <t>Matriz de Trazabilidad — Funcionalidades y Casos</t>
        </is>
      </c>
    </row>
    <row r="2" ht="18" customHeight="1">
      <c r="A2" s="21" t="inlineStr">
        <is>
          <t>Relación entre las funcionalidades incorporadas y los casos de prueba</t>
        </is>
      </c>
    </row>
    <row r="3" ht="30" customHeight="1">
      <c r="A3" s="24" t="inlineStr">
        <is>
          <t>Módulo</t>
        </is>
      </c>
      <c r="B3" s="24" t="inlineStr">
        <is>
          <t>Funcionalidad nueva</t>
        </is>
      </c>
      <c r="C3" s="24" t="inlineStr">
        <is>
          <t>Casos asociados</t>
        </is>
      </c>
      <c r="D3" s="24" t="inlineStr">
        <is>
          <t>Cobertura</t>
        </is>
      </c>
    </row>
    <row r="4" ht="28" customHeight="1">
      <c r="A4" s="25" t="inlineStr">
        <is>
          <t>Administración</t>
        </is>
      </c>
      <c r="B4" s="25" t="inlineStr">
        <is>
          <t>Icono flotante y panel de Soporte</t>
        </is>
      </c>
      <c r="C4" s="25" t="inlineStr">
        <is>
          <t>CP-SOP-01, CP-SOP-02, CP-SOP-11, CP-SOP-12</t>
        </is>
      </c>
      <c r="D4" s="26" t="inlineStr">
        <is>
          <t>100%</t>
        </is>
      </c>
    </row>
    <row r="5" ht="28" customHeight="1">
      <c r="A5" s="28" t="inlineStr">
        <is>
          <t>Soporte / Usuario</t>
        </is>
      </c>
      <c r="B5" s="28" t="inlineStr">
        <is>
          <t>Chatbot y validaciones</t>
        </is>
      </c>
      <c r="C5" s="28" t="inlineStr">
        <is>
          <t>CP-SOP-03, CP-SOP-04, CP-SOP-05, CP-SOP-06</t>
        </is>
      </c>
      <c r="D5" s="29" t="inlineStr">
        <is>
          <t>100%</t>
        </is>
      </c>
    </row>
    <row r="6" ht="28" customHeight="1">
      <c r="A6" s="25" t="inlineStr">
        <is>
          <t>Administración</t>
        </is>
      </c>
      <c r="B6" s="25" t="inlineStr">
        <is>
          <t>Tickets del usuario</t>
        </is>
      </c>
      <c r="C6" s="25" t="inlineStr">
        <is>
          <t>CP-SOP-07, CP-SOP-08, CP-SOP-09, CP-SOP-10</t>
        </is>
      </c>
      <c r="D6" s="26" t="inlineStr">
        <is>
          <t>100%</t>
        </is>
      </c>
    </row>
    <row r="7" ht="28" customHeight="1">
      <c r="A7" s="28" t="inlineStr">
        <is>
          <t>Administración</t>
        </is>
      </c>
      <c r="B7" s="28" t="inlineStr">
        <is>
          <t>Bandeja del administrador en el widget</t>
        </is>
      </c>
      <c r="C7" s="28" t="inlineStr">
        <is>
          <t>CP-ADM-05, CP-ADM-06, CP-ADM-07, CP-ADM-10, CP-ADM-16</t>
        </is>
      </c>
      <c r="D7" s="29" t="inlineStr">
        <is>
          <t>100%</t>
        </is>
      </c>
    </row>
    <row r="8" ht="28" customHeight="1">
      <c r="A8" s="25" t="inlineStr">
        <is>
          <t>Administración</t>
        </is>
      </c>
      <c r="B8" s="25" t="inlineStr">
        <is>
          <t>Pestaña de tickets en el Panel Admin</t>
        </is>
      </c>
      <c r="C8" s="25" t="inlineStr">
        <is>
          <t>CP-ADM-01, CP-ADM-03, CP-ADM-04, CP-ADM-11, CP-ADM-14</t>
        </is>
      </c>
      <c r="D8" s="26" t="inlineStr">
        <is>
          <t>100%</t>
        </is>
      </c>
    </row>
    <row r="9" ht="28" customHeight="1">
      <c r="A9" s="28" t="inlineStr">
        <is>
          <t>Administración</t>
        </is>
      </c>
      <c r="B9" s="28" t="inlineStr">
        <is>
          <t>Estados del ticket</t>
        </is>
      </c>
      <c r="C9" s="28" t="inlineStr">
        <is>
          <t>CP-ADM-07, CP-ADM-08, CP-ADM-09, CP-ADM-16, CP-INT-04</t>
        </is>
      </c>
      <c r="D9" s="29" t="inlineStr">
        <is>
          <t>100%</t>
        </is>
      </c>
    </row>
    <row r="10" ht="28" customHeight="1">
      <c r="A10" s="25" t="inlineStr">
        <is>
          <t>Administración</t>
        </is>
      </c>
      <c r="B10" s="25" t="inlineStr">
        <is>
          <t>Respuestas al usuario</t>
        </is>
      </c>
      <c r="C10" s="25" t="inlineStr">
        <is>
          <t>CP-SOP-08, CP-ADM-10, CP-ADM-11, CP-ADM-12</t>
        </is>
      </c>
      <c r="D10" s="26" t="inlineStr">
        <is>
          <t>100%</t>
        </is>
      </c>
    </row>
    <row r="11" ht="28" customHeight="1">
      <c r="A11" s="28" t="inlineStr">
        <is>
          <t>Administración</t>
        </is>
      </c>
      <c r="B11" s="28" t="inlineStr">
        <is>
          <t>Eliminación y búsqueda</t>
        </is>
      </c>
      <c r="C11" s="28" t="inlineStr">
        <is>
          <t>CP-ADM-13, CP-ADM-14, CP-INT-05</t>
        </is>
      </c>
      <c r="D11" s="29" t="inlineStr">
        <is>
          <t>100%</t>
        </is>
      </c>
    </row>
    <row r="12" ht="28" customHeight="1">
      <c r="A12" s="25" t="inlineStr">
        <is>
          <t>Integración / Backend</t>
        </is>
      </c>
      <c r="B12" s="25" t="inlineStr">
        <is>
          <t>Persistencia y backend</t>
        </is>
      </c>
      <c r="C12" s="25" t="inlineStr">
        <is>
          <t>CP-INT-01 a CP-INT-06, CP-ADM-16</t>
        </is>
      </c>
      <c r="D12" s="26" t="inlineStr">
        <is>
          <t>100%</t>
        </is>
      </c>
    </row>
    <row r="13" ht="28" customHeight="1">
      <c r="A13" s="28" t="inlineStr">
        <is>
          <t>Integración / Backend</t>
        </is>
      </c>
      <c r="B13" s="28" t="inlineStr">
        <is>
          <t>Correo y auditoría</t>
        </is>
      </c>
      <c r="C13" s="28" t="inlineStr">
        <is>
          <t>CP-INT-07</t>
        </is>
      </c>
      <c r="D13" s="29" t="inlineStr">
        <is>
          <t>100%</t>
        </is>
      </c>
    </row>
    <row r="14" ht="28" customHeight="1">
      <c r="A14" s="25" t="inlineStr">
        <is>
          <t>Integración / Backend</t>
        </is>
      </c>
      <c r="B14" s="25" t="inlineStr">
        <is>
          <t>Conectividad y caché</t>
        </is>
      </c>
      <c r="C14" s="25" t="inlineStr">
        <is>
          <t>CP-SOP-10, CP-INT-08, CP-INT-09</t>
        </is>
      </c>
      <c r="D14" s="26" t="inlineStr">
        <is>
          <t>100%</t>
        </is>
      </c>
    </row>
    <row r="15" ht="28" customHeight="1">
      <c r="A15" s="28" t="inlineStr">
        <is>
          <t>Seguridad</t>
        </is>
      </c>
      <c r="B15" s="28" t="inlineStr">
        <is>
          <t>Seguridad y roles</t>
        </is>
      </c>
      <c r="C15" s="28" t="inlineStr">
        <is>
          <t>CP-ADM-02, CP-SEG-01, CP-SEG-02, CP-SEG-03, CP-SEG-04</t>
        </is>
      </c>
      <c r="D15" s="29" t="inlineStr">
        <is>
          <t>100%</t>
        </is>
      </c>
    </row>
    <row r="16" ht="28" customHeight="1">
      <c r="A16" s="25" t="inlineStr">
        <is>
          <t>Soporte / Usuario</t>
        </is>
      </c>
      <c r="B16" s="25" t="inlineStr">
        <is>
          <t>Responsive</t>
        </is>
      </c>
      <c r="C16" s="25" t="inlineStr">
        <is>
          <t>CP-SOP-11, CP-ADM-15</t>
        </is>
      </c>
      <c r="D16" s="26" t="inlineStr">
        <is>
          <t>100%</t>
        </is>
      </c>
    </row>
  </sheetData>
  <autoFilter ref="A3:D16"/>
  <mergeCells count="2">
    <mergeCell ref="A1:D1"/>
    <mergeCell ref="A2:D2"/>
  </mergeCells>
  <pageMargins left="0.25" right="0.25" top="0.45" bottom="0.45" header="0.2" footer="0.2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22" customWidth="1" min="3" max="3"/>
    <col width="18" customWidth="1" min="4" max="4"/>
  </cols>
  <sheetData>
    <row r="1" ht="30" customHeight="1">
      <c r="A1" s="20" t="inlineStr">
        <is>
          <t>Informe de Cierre de Ciclo — Módulo de Soporte y Tickets</t>
        </is>
      </c>
    </row>
    <row r="2" ht="18" customHeight="1">
      <c r="A2" s="21" t="inlineStr">
        <is>
          <t>Resultado final, pendientes y aprobaciones · Octubre 2026</t>
        </is>
      </c>
    </row>
    <row r="3">
      <c r="A3" s="22" t="n"/>
      <c r="B3" s="22" t="n"/>
      <c r="C3" s="22" t="n"/>
      <c r="D3" s="22" t="n"/>
    </row>
    <row r="4" ht="24" customHeight="1">
      <c r="A4" s="5" t="inlineStr">
        <is>
          <t>Proyecto</t>
        </is>
      </c>
      <c r="B4" s="16" t="inlineStr">
        <is>
          <t>Divise — Cotizaciones &amp; Mercado en Tiempo Real</t>
        </is>
      </c>
    </row>
    <row r="5" ht="24" customHeight="1">
      <c r="A5" s="5" t="inlineStr">
        <is>
          <t>Documento fuente</t>
        </is>
      </c>
      <c r="B5" s="18" t="inlineStr">
        <is>
          <t>Casos de Prueba — Módulo de Soporte y Tickets (v1.0)</t>
        </is>
      </c>
    </row>
    <row r="6" ht="24" customHeight="1">
      <c r="A6" s="5" t="inlineStr">
        <is>
          <t>Entorno</t>
        </is>
      </c>
      <c r="B6" s="16" t="inlineStr">
        <is>
          <t>Local (Vite + Express) y producción Render/Supabase</t>
        </is>
      </c>
    </row>
    <row r="7" ht="24" customHeight="1">
      <c r="A7" s="5" t="inlineStr">
        <is>
          <t>Casos diseñados</t>
        </is>
      </c>
      <c r="B7" s="18" t="inlineStr">
        <is>
          <t>41</t>
        </is>
      </c>
    </row>
    <row r="8" ht="24" customHeight="1">
      <c r="A8" s="5" t="inlineStr">
        <is>
          <t>Aprobados</t>
        </is>
      </c>
      <c r="B8" s="16" t="inlineStr">
        <is>
          <t>34</t>
        </is>
      </c>
    </row>
    <row r="9" ht="24" customHeight="1">
      <c r="A9" s="5" t="inlineStr">
        <is>
          <t>Pendientes</t>
        </is>
      </c>
      <c r="B9" s="18" t="inlineStr">
        <is>
          <t>4</t>
        </is>
      </c>
    </row>
    <row r="10" ht="24" customHeight="1">
      <c r="A10" s="5" t="inlineStr">
        <is>
          <t>Parciales</t>
        </is>
      </c>
      <c r="B10" s="16" t="inlineStr">
        <is>
          <t>3</t>
        </is>
      </c>
    </row>
    <row r="11" ht="24" customHeight="1">
      <c r="A11" s="5" t="inlineStr">
        <is>
          <t>Fallos bloqueantes</t>
        </is>
      </c>
      <c r="B11" s="18" t="inlineStr">
        <is>
          <t>0</t>
        </is>
      </c>
    </row>
    <row r="12" ht="24" customHeight="1">
      <c r="A12" s="5" t="inlineStr">
        <is>
          <t>Resultado del ciclo</t>
        </is>
      </c>
      <c r="B12" s="16" t="inlineStr">
        <is>
          <t>APROBADO PARA DESPLIEGUE</t>
        </is>
      </c>
    </row>
    <row r="13" ht="24" customHeight="1">
      <c r="A13" s="5" t="inlineStr">
        <is>
          <t>Pendientes de validación</t>
        </is>
      </c>
      <c r="B13" s="18" t="inlineStr">
        <is>
          <t>Responsive físico, reapertura de ticket, correo real y migración en Supabase.</t>
        </is>
      </c>
    </row>
    <row r="14" ht="48" customHeight="1">
      <c r="A14" s="5" t="inlineStr">
        <is>
          <t>Observaciones</t>
        </is>
      </c>
      <c r="B14" s="16" t="inlineStr">
        <is>
          <t>El módulo de soporte quedó integrado al dashboard y al panel de administración, con bandeja propia para el admin, respuestas al usuario y respaldo JSON.</t>
        </is>
      </c>
    </row>
    <row r="18" ht="24" customHeight="1">
      <c r="A18" s="14" t="inlineStr">
        <is>
          <t>APROBACIONES</t>
        </is>
      </c>
    </row>
    <row r="19" ht="24" customHeight="1">
      <c r="A19" s="24" t="inlineStr">
        <is>
          <t>Rol</t>
        </is>
      </c>
      <c r="B19" s="24" t="inlineStr">
        <is>
          <t>Nombre</t>
        </is>
      </c>
      <c r="C19" s="24" t="inlineStr">
        <is>
          <t>Firma</t>
        </is>
      </c>
      <c r="D19" s="24" t="inlineStr">
        <is>
          <t>Fecha</t>
        </is>
      </c>
    </row>
    <row r="20" ht="28" customHeight="1">
      <c r="A20" s="26" t="inlineStr">
        <is>
          <t>QA / Testing</t>
        </is>
      </c>
      <c r="B20" s="25" t="inlineStr">
        <is>
          <t>Lorenzo Sánchez</t>
        </is>
      </c>
      <c r="C20" s="26" t="inlineStr"/>
      <c r="D20" s="26" t="inlineStr"/>
    </row>
    <row r="21" ht="28" customHeight="1">
      <c r="A21" s="29" t="inlineStr">
        <is>
          <t>Desarrollo</t>
        </is>
      </c>
      <c r="B21" s="28" t="inlineStr">
        <is>
          <t>Santino Tacconi</t>
        </is>
      </c>
      <c r="C21" s="29" t="inlineStr"/>
      <c r="D21" s="29" t="inlineStr"/>
    </row>
    <row r="22" ht="28" customHeight="1">
      <c r="A22" s="26" t="inlineStr">
        <is>
          <t>Desarrollo</t>
        </is>
      </c>
      <c r="B22" s="25" t="inlineStr">
        <is>
          <t>Santiago Centurión</t>
        </is>
      </c>
      <c r="C22" s="26" t="inlineStr"/>
      <c r="D22" s="26" t="inlineStr"/>
    </row>
    <row r="23" ht="28" customHeight="1">
      <c r="A23" s="29" t="inlineStr">
        <is>
          <t>Project Manager</t>
        </is>
      </c>
      <c r="B23" s="28" t="inlineStr">
        <is>
          <t>Valentín López</t>
        </is>
      </c>
      <c r="C23" s="29" t="inlineStr"/>
      <c r="D23" s="29" t="inlineStr"/>
    </row>
    <row r="24" ht="28" customHeight="1">
      <c r="A24" s="26" t="inlineStr">
        <is>
          <t>UX</t>
        </is>
      </c>
      <c r="B24" s="25" t="inlineStr">
        <is>
          <t>Bruno Cabrera</t>
        </is>
      </c>
      <c r="C24" s="26" t="inlineStr"/>
      <c r="D24" s="26" t="inlineStr"/>
    </row>
  </sheetData>
  <mergeCells count="25">
    <mergeCell ref="A8"/>
    <mergeCell ref="B11:D11"/>
    <mergeCell ref="B14:D14"/>
    <mergeCell ref="A4"/>
    <mergeCell ref="B8:D8"/>
    <mergeCell ref="B13:D13"/>
    <mergeCell ref="A10"/>
    <mergeCell ref="A13"/>
    <mergeCell ref="B10:D10"/>
    <mergeCell ref="A9"/>
    <mergeCell ref="B9:D9"/>
    <mergeCell ref="A11"/>
    <mergeCell ref="B6:D6"/>
    <mergeCell ref="A1:D1"/>
    <mergeCell ref="A6"/>
    <mergeCell ref="B5:D5"/>
    <mergeCell ref="B4:D4"/>
    <mergeCell ref="A7"/>
    <mergeCell ref="B7:D7"/>
    <mergeCell ref="A18:D18"/>
    <mergeCell ref="A12"/>
    <mergeCell ref="A2:D2"/>
    <mergeCell ref="B12:D12"/>
    <mergeCell ref="A14"/>
    <mergeCell ref="A5"/>
  </mergeCells>
  <pageMargins left="0.25" right="0.25" top="0.45" bottom="0.4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2026-10-23T19:39:09Z</dcterms:created>
  <dcterms:modified xsi:type="dcterms:W3CDTF">2026-10-23T19:39:10Z</dcterms:modified>
</cp:coreProperties>
</file>